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904B9B42-773F-4DA0-8759-F8C33DD5C4B5}" xr6:coauthVersionLast="47" xr6:coauthVersionMax="47" xr10:uidLastSave="{00000000-0000-0000-0000-000000000000}"/>
  <bookViews>
    <workbookView xWindow="240" yWindow="105" windowWidth="14805" windowHeight="8010" firstSheet="10" activeTab="10" xr2:uid="{00000000-000D-0000-FFFF-FFFF00000000}"/>
  </bookViews>
  <sheets>
    <sheet name="Industry_Skillset" sheetId="1" r:id="rId1"/>
    <sheet name="Curriculum_Skillset" sheetId="2" r:id="rId2"/>
    <sheet name="Skill Frequency Analysis" sheetId="3" r:id="rId3"/>
    <sheet name="Category Frequency Analysis " sheetId="4" r:id="rId4"/>
    <sheet name="Skill_Matching" sheetId="10" r:id="rId5"/>
    <sheet name="Alignment Analysis" sheetId="9" r:id="rId6"/>
    <sheet name="Skill Gap Analysis" sheetId="7" r:id="rId7"/>
    <sheet name="Curriculum Coverage" sheetId="8" r:id="rId8"/>
    <sheet name="Emerging Technology Alignment" sheetId="11" r:id="rId9"/>
    <sheet name="Rank Difference" sheetId="12" r:id="rId10"/>
    <sheet name="Chi Square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5" i="13" l="1"/>
  <c r="B44" i="13"/>
  <c r="B43" i="13"/>
  <c r="B42" i="13"/>
  <c r="B41" i="13"/>
  <c r="B40" i="13" a="1"/>
  <c r="B40" i="13"/>
  <c r="B25" i="13"/>
  <c r="C25" i="13"/>
  <c r="D25" i="13"/>
  <c r="B26" i="13"/>
  <c r="C26" i="13"/>
  <c r="D26" i="13"/>
  <c r="B27" i="13"/>
  <c r="C27" i="13"/>
  <c r="D27" i="13"/>
  <c r="B28" i="13"/>
  <c r="C28" i="13"/>
  <c r="D28" i="13"/>
  <c r="B29" i="13"/>
  <c r="C29" i="13"/>
  <c r="D29" i="13"/>
  <c r="B30" i="13"/>
  <c r="C30" i="13"/>
  <c r="D30" i="13"/>
  <c r="B31" i="13"/>
  <c r="C31" i="13"/>
  <c r="D31" i="13"/>
  <c r="B32" i="13"/>
  <c r="C32" i="13"/>
  <c r="D32" i="13"/>
  <c r="B33" i="13"/>
  <c r="C33" i="13"/>
  <c r="D33" i="13"/>
  <c r="B34" i="13"/>
  <c r="C34" i="13"/>
  <c r="D34" i="13"/>
  <c r="B35" i="13"/>
  <c r="C35" i="13"/>
  <c r="D35" i="13"/>
  <c r="B36" i="13"/>
  <c r="C36" i="13"/>
  <c r="D36" i="13"/>
  <c r="B37" i="13"/>
  <c r="C37" i="13"/>
  <c r="D37" i="13"/>
  <c r="C24" i="13"/>
  <c r="D24" i="13"/>
  <c r="B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24" i="13"/>
  <c r="D19" i="13"/>
  <c r="C19" i="13"/>
  <c r="B19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5" i="13"/>
  <c r="E19" i="13" s="1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5" i="13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C101" i="12"/>
  <c r="C100" i="12"/>
  <c r="C99" i="12"/>
  <c r="C98" i="12"/>
  <c r="C97" i="12"/>
  <c r="C96" i="12"/>
  <c r="C95" i="12"/>
  <c r="C9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6" i="12"/>
  <c r="H7" i="12"/>
  <c r="H8" i="12"/>
  <c r="H9" i="12"/>
  <c r="H10" i="12"/>
  <c r="H11" i="12"/>
  <c r="H5" i="12"/>
  <c r="C94" i="12"/>
  <c r="C93" i="12"/>
  <c r="C92" i="12"/>
  <c r="C90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106" i="12"/>
  <c r="E5" i="12"/>
  <c r="B5" i="12" a="1"/>
  <c r="B5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C6" i="12"/>
  <c r="F6" i="12" s="1"/>
  <c r="C7" i="12"/>
  <c r="F7" i="12" s="1"/>
  <c r="C8" i="12"/>
  <c r="F8" i="12" s="1"/>
  <c r="C9" i="12"/>
  <c r="F9" i="12" s="1"/>
  <c r="C10" i="12"/>
  <c r="F10" i="12" s="1"/>
  <c r="C11" i="12"/>
  <c r="F11" i="12" s="1"/>
  <c r="C12" i="12"/>
  <c r="F12" i="12" s="1"/>
  <c r="C13" i="12"/>
  <c r="F13" i="12" s="1"/>
  <c r="C14" i="12"/>
  <c r="F14" i="12" s="1"/>
  <c r="C15" i="12"/>
  <c r="F15" i="12" s="1"/>
  <c r="C16" i="12"/>
  <c r="F16" i="12" s="1"/>
  <c r="C17" i="12"/>
  <c r="F17" i="12" s="1"/>
  <c r="C18" i="12"/>
  <c r="F18" i="12" s="1"/>
  <c r="C19" i="12"/>
  <c r="F19" i="12" s="1"/>
  <c r="C20" i="12"/>
  <c r="F20" i="12" s="1"/>
  <c r="C21" i="12"/>
  <c r="F21" i="12" s="1"/>
  <c r="C22" i="12"/>
  <c r="F22" i="12" s="1"/>
  <c r="C23" i="12"/>
  <c r="F23" i="12" s="1"/>
  <c r="C24" i="12"/>
  <c r="F24" i="12" s="1"/>
  <c r="C25" i="12"/>
  <c r="F25" i="12" s="1"/>
  <c r="C26" i="12"/>
  <c r="F26" i="12" s="1"/>
  <c r="C27" i="12"/>
  <c r="F27" i="12" s="1"/>
  <c r="C28" i="12"/>
  <c r="F28" i="12" s="1"/>
  <c r="C29" i="12"/>
  <c r="F29" i="12" s="1"/>
  <c r="C30" i="12"/>
  <c r="F30" i="12" s="1"/>
  <c r="C31" i="12"/>
  <c r="F31" i="12" s="1"/>
  <c r="C32" i="12"/>
  <c r="F32" i="12" s="1"/>
  <c r="C33" i="12"/>
  <c r="F33" i="12" s="1"/>
  <c r="C34" i="12"/>
  <c r="F34" i="12" s="1"/>
  <c r="C35" i="12"/>
  <c r="F35" i="12" s="1"/>
  <c r="C36" i="12"/>
  <c r="F36" i="12" s="1"/>
  <c r="C37" i="12"/>
  <c r="F37" i="12" s="1"/>
  <c r="C38" i="12"/>
  <c r="F38" i="12" s="1"/>
  <c r="C39" i="12"/>
  <c r="F39" i="12" s="1"/>
  <c r="C40" i="12"/>
  <c r="F40" i="12" s="1"/>
  <c r="C41" i="12"/>
  <c r="F41" i="12" s="1"/>
  <c r="C42" i="12"/>
  <c r="F42" i="12" s="1"/>
  <c r="C43" i="12"/>
  <c r="F43" i="12" s="1"/>
  <c r="C44" i="12"/>
  <c r="F44" i="12" s="1"/>
  <c r="C45" i="12"/>
  <c r="F45" i="12" s="1"/>
  <c r="C46" i="12"/>
  <c r="F46" i="12" s="1"/>
  <c r="C47" i="12"/>
  <c r="F47" i="12" s="1"/>
  <c r="C48" i="12"/>
  <c r="F48" i="12" s="1"/>
  <c r="C49" i="12"/>
  <c r="F49" i="12" s="1"/>
  <c r="C50" i="12"/>
  <c r="F50" i="12" s="1"/>
  <c r="C51" i="12"/>
  <c r="F51" i="12" s="1"/>
  <c r="A5" i="12" a="1"/>
  <c r="A5" i="12" s="1"/>
  <c r="L7" i="11"/>
  <c r="L8" i="11"/>
  <c r="L9" i="11"/>
  <c r="L10" i="11"/>
  <c r="L11" i="11"/>
  <c r="L12" i="11"/>
  <c r="L6" i="11"/>
  <c r="L13" i="11"/>
  <c r="L14" i="11"/>
  <c r="L15" i="11"/>
  <c r="L16" i="11"/>
  <c r="L17" i="11"/>
  <c r="L18" i="11"/>
  <c r="L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5" i="11"/>
  <c r="H33" i="11"/>
  <c r="H35" i="11"/>
  <c r="H36" i="11"/>
  <c r="H37" i="11"/>
  <c r="H32" i="11"/>
  <c r="G33" i="11"/>
  <c r="G35" i="11"/>
  <c r="G36" i="11"/>
  <c r="G37" i="11"/>
  <c r="G32" i="11"/>
  <c r="F33" i="11"/>
  <c r="F34" i="11"/>
  <c r="F35" i="11"/>
  <c r="F36" i="11"/>
  <c r="F37" i="11"/>
  <c r="F32" i="11"/>
  <c r="E33" i="11"/>
  <c r="E34" i="11"/>
  <c r="E35" i="11"/>
  <c r="E36" i="11"/>
  <c r="E37" i="11"/>
  <c r="E32" i="11"/>
  <c r="D33" i="11"/>
  <c r="D34" i="11"/>
  <c r="D35" i="11"/>
  <c r="D36" i="11"/>
  <c r="D37" i="11"/>
  <c r="D32" i="11"/>
  <c r="C33" i="11"/>
  <c r="C34" i="11"/>
  <c r="C35" i="11"/>
  <c r="C36" i="11"/>
  <c r="C37" i="11"/>
  <c r="C32" i="11"/>
  <c r="C28" i="11"/>
  <c r="C27" i="11"/>
  <c r="C25" i="11"/>
  <c r="C26" i="11"/>
  <c r="C24" i="11"/>
  <c r="C23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5" i="11"/>
  <c r="F100" i="8"/>
  <c r="F99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21" i="8"/>
  <c r="E114" i="8"/>
  <c r="E115" i="8"/>
  <c r="E116" i="8"/>
  <c r="E113" i="8"/>
  <c r="B106" i="8"/>
  <c r="B105" i="8"/>
  <c r="B104" i="8"/>
  <c r="B103" i="8"/>
  <c r="B102" i="8"/>
  <c r="B98" i="8"/>
  <c r="B101" i="8"/>
  <c r="G5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5" i="8"/>
  <c r="B6" i="8" a="1"/>
  <c r="B6" i="8"/>
  <c r="B7" i="8" a="1"/>
  <c r="B7" i="8"/>
  <c r="B8" i="8" a="1"/>
  <c r="B8" i="8"/>
  <c r="B9" i="8" a="1"/>
  <c r="B9" i="8"/>
  <c r="B10" i="8" a="1"/>
  <c r="B10" i="8"/>
  <c r="B11" i="8" a="1"/>
  <c r="B11" i="8"/>
  <c r="B12" i="8" a="1"/>
  <c r="B12" i="8"/>
  <c r="B13" i="8" a="1"/>
  <c r="B13" i="8"/>
  <c r="B14" i="8" a="1"/>
  <c r="B14" i="8"/>
  <c r="B15" i="8" a="1"/>
  <c r="B15" i="8"/>
  <c r="B16" i="8" a="1"/>
  <c r="B16" i="8"/>
  <c r="B17" i="8" a="1"/>
  <c r="B17" i="8"/>
  <c r="B18" i="8" a="1"/>
  <c r="B18" i="8"/>
  <c r="B19" i="8" a="1"/>
  <c r="B19" i="8"/>
  <c r="B20" i="8" a="1"/>
  <c r="B20" i="8"/>
  <c r="B21" i="8" a="1"/>
  <c r="B21" i="8"/>
  <c r="B22" i="8" a="1"/>
  <c r="B22" i="8"/>
  <c r="B23" i="8" a="1"/>
  <c r="B23" i="8"/>
  <c r="B24" i="8" a="1"/>
  <c r="B24" i="8"/>
  <c r="B25" i="8" a="1"/>
  <c r="B25" i="8"/>
  <c r="B26" i="8" a="1"/>
  <c r="B26" i="8"/>
  <c r="B27" i="8" a="1"/>
  <c r="B27" i="8"/>
  <c r="B28" i="8" a="1"/>
  <c r="B28" i="8"/>
  <c r="B29" i="8" a="1"/>
  <c r="B29" i="8"/>
  <c r="B30" i="8" a="1"/>
  <c r="B30" i="8"/>
  <c r="B31" i="8" a="1"/>
  <c r="B31" i="8"/>
  <c r="B32" i="8" a="1"/>
  <c r="B32" i="8"/>
  <c r="B33" i="8" a="1"/>
  <c r="B33" i="8"/>
  <c r="B34" i="8" a="1"/>
  <c r="B34" i="8"/>
  <c r="B35" i="8" a="1"/>
  <c r="B35" i="8"/>
  <c r="B36" i="8" a="1"/>
  <c r="B36" i="8"/>
  <c r="B37" i="8" a="1"/>
  <c r="B37" i="8"/>
  <c r="B38" i="8" a="1"/>
  <c r="B38" i="8"/>
  <c r="B39" i="8" a="1"/>
  <c r="B39" i="8"/>
  <c r="B40" i="8" a="1"/>
  <c r="B40" i="8"/>
  <c r="B41" i="8" a="1"/>
  <c r="B41" i="8"/>
  <c r="B42" i="8" a="1"/>
  <c r="B42" i="8"/>
  <c r="B43" i="8" a="1"/>
  <c r="B43" i="8"/>
  <c r="B44" i="8" a="1"/>
  <c r="B44" i="8"/>
  <c r="B45" i="8" a="1"/>
  <c r="B45" i="8"/>
  <c r="B46" i="8" a="1"/>
  <c r="B46" i="8"/>
  <c r="B47" i="8" a="1"/>
  <c r="B47" i="8"/>
  <c r="B48" i="8" a="1"/>
  <c r="B48" i="8"/>
  <c r="B49" i="8" a="1"/>
  <c r="B49" i="8"/>
  <c r="B50" i="8" a="1"/>
  <c r="B50" i="8"/>
  <c r="B51" i="8" a="1"/>
  <c r="B51" i="8"/>
  <c r="B52" i="8" a="1"/>
  <c r="B52" i="8"/>
  <c r="B53" i="8" a="1"/>
  <c r="B53" i="8"/>
  <c r="B54" i="8" a="1"/>
  <c r="B54" i="8"/>
  <c r="B55" i="8" a="1"/>
  <c r="B55" i="8"/>
  <c r="B56" i="8" a="1"/>
  <c r="B56" i="8"/>
  <c r="B57" i="8" a="1"/>
  <c r="B57" i="8"/>
  <c r="B58" i="8" a="1"/>
  <c r="B58" i="8"/>
  <c r="B59" i="8" a="1"/>
  <c r="B59" i="8"/>
  <c r="B60" i="8" a="1"/>
  <c r="B60" i="8"/>
  <c r="B61" i="8" a="1"/>
  <c r="B61" i="8"/>
  <c r="B62" i="8" a="1"/>
  <c r="B62" i="8"/>
  <c r="B63" i="8" a="1"/>
  <c r="B63" i="8"/>
  <c r="B64" i="8" a="1"/>
  <c r="B64" i="8"/>
  <c r="B65" i="8" a="1"/>
  <c r="B65" i="8"/>
  <c r="B66" i="8" a="1"/>
  <c r="B66" i="8"/>
  <c r="B67" i="8" a="1"/>
  <c r="B67" i="8"/>
  <c r="B68" i="8" a="1"/>
  <c r="B68" i="8"/>
  <c r="B69" i="8" a="1"/>
  <c r="B69" i="8"/>
  <c r="B70" i="8" a="1"/>
  <c r="B70" i="8"/>
  <c r="B71" i="8" a="1"/>
  <c r="B71" i="8"/>
  <c r="B72" i="8" a="1"/>
  <c r="B72" i="8"/>
  <c r="B73" i="8" a="1"/>
  <c r="B73" i="8"/>
  <c r="B74" i="8" a="1"/>
  <c r="B74" i="8"/>
  <c r="B75" i="8" a="1"/>
  <c r="B75" i="8"/>
  <c r="B76" i="8" a="1"/>
  <c r="B76" i="8"/>
  <c r="B77" i="8" a="1"/>
  <c r="B77" i="8"/>
  <c r="B78" i="8" a="1"/>
  <c r="B78" i="8"/>
  <c r="B79" i="8" a="1"/>
  <c r="B79" i="8"/>
  <c r="B80" i="8" a="1"/>
  <c r="B80" i="8"/>
  <c r="B81" i="8" a="1"/>
  <c r="B81" i="8"/>
  <c r="B82" i="8" a="1"/>
  <c r="B82" i="8"/>
  <c r="B83" i="8" a="1"/>
  <c r="B83" i="8"/>
  <c r="B84" i="8" a="1"/>
  <c r="B84" i="8"/>
  <c r="B85" i="8" a="1"/>
  <c r="B85" i="8"/>
  <c r="B86" i="8" a="1"/>
  <c r="B86" i="8"/>
  <c r="B87" i="8" a="1"/>
  <c r="B87" i="8"/>
  <c r="B5" i="8" a="1"/>
  <c r="B5" i="8"/>
  <c r="A6" i="8" a="1"/>
  <c r="A6" i="8"/>
  <c r="A7" i="8" a="1"/>
  <c r="A7" i="8"/>
  <c r="A8" i="8" a="1"/>
  <c r="A8" i="8"/>
  <c r="A9" i="8" a="1"/>
  <c r="A9" i="8"/>
  <c r="A10" i="8" a="1"/>
  <c r="A10" i="8"/>
  <c r="A11" i="8" a="1"/>
  <c r="A11" i="8"/>
  <c r="A12" i="8" a="1"/>
  <c r="A12" i="8"/>
  <c r="A13" i="8" a="1"/>
  <c r="A13" i="8"/>
  <c r="A14" i="8" a="1"/>
  <c r="A14" i="8"/>
  <c r="A15" i="8" a="1"/>
  <c r="A15" i="8"/>
  <c r="A16" i="8" a="1"/>
  <c r="A16" i="8"/>
  <c r="A17" i="8" a="1"/>
  <c r="A17" i="8"/>
  <c r="A18" i="8" a="1"/>
  <c r="A18" i="8"/>
  <c r="A19" i="8" a="1"/>
  <c r="A19" i="8"/>
  <c r="A20" i="8" a="1"/>
  <c r="A20" i="8"/>
  <c r="A21" i="8" a="1"/>
  <c r="A21" i="8"/>
  <c r="A22" i="8" a="1"/>
  <c r="A22" i="8"/>
  <c r="A23" i="8" a="1"/>
  <c r="A23" i="8"/>
  <c r="A24" i="8" a="1"/>
  <c r="A24" i="8"/>
  <c r="A25" i="8" a="1"/>
  <c r="A25" i="8"/>
  <c r="A26" i="8" a="1"/>
  <c r="A26" i="8"/>
  <c r="A27" i="8" a="1"/>
  <c r="A27" i="8"/>
  <c r="A28" i="8" a="1"/>
  <c r="A28" i="8"/>
  <c r="A29" i="8" a="1"/>
  <c r="A29" i="8"/>
  <c r="A30" i="8" a="1"/>
  <c r="A30" i="8"/>
  <c r="A31" i="8" a="1"/>
  <c r="A31" i="8"/>
  <c r="A32" i="8" a="1"/>
  <c r="A32" i="8"/>
  <c r="A33" i="8" a="1"/>
  <c r="A33" i="8"/>
  <c r="A34" i="8" a="1"/>
  <c r="A34" i="8"/>
  <c r="A35" i="8" a="1"/>
  <c r="A35" i="8"/>
  <c r="A36" i="8" a="1"/>
  <c r="A36" i="8"/>
  <c r="A37" i="8" a="1"/>
  <c r="A37" i="8"/>
  <c r="A38" i="8" a="1"/>
  <c r="A38" i="8"/>
  <c r="A39" i="8" a="1"/>
  <c r="A39" i="8"/>
  <c r="A40" i="8" a="1"/>
  <c r="A40" i="8"/>
  <c r="A41" i="8" a="1"/>
  <c r="A41" i="8"/>
  <c r="A42" i="8" a="1"/>
  <c r="A42" i="8"/>
  <c r="A43" i="8" a="1"/>
  <c r="A43" i="8"/>
  <c r="A44" i="8" a="1"/>
  <c r="A44" i="8"/>
  <c r="A45" i="8" a="1"/>
  <c r="A45" i="8"/>
  <c r="A46" i="8" a="1"/>
  <c r="A46" i="8"/>
  <c r="A47" i="8" a="1"/>
  <c r="A47" i="8"/>
  <c r="A48" i="8" a="1"/>
  <c r="A48" i="8"/>
  <c r="A49" i="8" a="1"/>
  <c r="A49" i="8"/>
  <c r="A50" i="8" a="1"/>
  <c r="A50" i="8"/>
  <c r="A51" i="8" a="1"/>
  <c r="A51" i="8"/>
  <c r="A52" i="8" a="1"/>
  <c r="A52" i="8"/>
  <c r="A53" i="8" a="1"/>
  <c r="A53" i="8"/>
  <c r="A54" i="8" a="1"/>
  <c r="A54" i="8"/>
  <c r="A55" i="8" a="1"/>
  <c r="A55" i="8"/>
  <c r="A56" i="8" a="1"/>
  <c r="A56" i="8"/>
  <c r="A57" i="8" a="1"/>
  <c r="A57" i="8"/>
  <c r="A58" i="8" a="1"/>
  <c r="A58" i="8"/>
  <c r="A59" i="8" a="1"/>
  <c r="A59" i="8"/>
  <c r="A60" i="8" a="1"/>
  <c r="A60" i="8"/>
  <c r="A61" i="8" a="1"/>
  <c r="A61" i="8"/>
  <c r="A62" i="8" a="1"/>
  <c r="A62" i="8"/>
  <c r="A63" i="8" a="1"/>
  <c r="A63" i="8"/>
  <c r="A64" i="8" a="1"/>
  <c r="A64" i="8"/>
  <c r="A65" i="8" a="1"/>
  <c r="A65" i="8"/>
  <c r="A66" i="8" a="1"/>
  <c r="A66" i="8"/>
  <c r="A67" i="8" a="1"/>
  <c r="A67" i="8"/>
  <c r="A68" i="8" a="1"/>
  <c r="A68" i="8"/>
  <c r="A69" i="8" a="1"/>
  <c r="A69" i="8"/>
  <c r="A70" i="8" a="1"/>
  <c r="A70" i="8"/>
  <c r="A71" i="8" a="1"/>
  <c r="A71" i="8"/>
  <c r="A72" i="8" a="1"/>
  <c r="A72" i="8"/>
  <c r="A73" i="8" a="1"/>
  <c r="A73" i="8"/>
  <c r="A74" i="8" a="1"/>
  <c r="A74" i="8"/>
  <c r="A75" i="8" a="1"/>
  <c r="A75" i="8"/>
  <c r="A76" i="8" a="1"/>
  <c r="A76" i="8"/>
  <c r="A77" i="8" a="1"/>
  <c r="A77" i="8"/>
  <c r="A78" i="8" a="1"/>
  <c r="A78" i="8"/>
  <c r="A79" i="8" a="1"/>
  <c r="A79" i="8"/>
  <c r="A80" i="8" a="1"/>
  <c r="A80" i="8"/>
  <c r="A81" i="8" a="1"/>
  <c r="A81" i="8"/>
  <c r="A82" i="8" a="1"/>
  <c r="A82" i="8"/>
  <c r="A83" i="8" a="1"/>
  <c r="A83" i="8"/>
  <c r="A84" i="8" a="1"/>
  <c r="A84" i="8"/>
  <c r="A85" i="8" a="1"/>
  <c r="A85" i="8"/>
  <c r="A86" i="8" a="1"/>
  <c r="A86" i="8"/>
  <c r="A87" i="8" a="1"/>
  <c r="A87" i="8"/>
  <c r="A88" i="8" a="1"/>
  <c r="A88" i="8"/>
  <c r="A89" i="8" a="1"/>
  <c r="A89" i="8"/>
  <c r="A90" i="8" a="1"/>
  <c r="A90" i="8"/>
  <c r="A5" i="8" a="1"/>
  <c r="A5" i="8"/>
  <c r="A93" i="7"/>
  <c r="A94" i="7"/>
  <c r="A95" i="7"/>
  <c r="A96" i="7"/>
  <c r="A97" i="7"/>
  <c r="A98" i="7"/>
  <c r="A99" i="7"/>
  <c r="A100" i="7"/>
  <c r="A101" i="7"/>
  <c r="B93" i="7"/>
  <c r="B94" i="7"/>
  <c r="B95" i="7"/>
  <c r="B96" i="7"/>
  <c r="B97" i="7"/>
  <c r="B98" i="7"/>
  <c r="B99" i="7"/>
  <c r="B100" i="7"/>
  <c r="B101" i="7"/>
  <c r="A92" i="7"/>
  <c r="B92" i="7"/>
  <c r="J14" i="7"/>
  <c r="I14" i="7"/>
  <c r="J13" i="7"/>
  <c r="I13" i="7"/>
  <c r="J12" i="7"/>
  <c r="I12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30" i="7"/>
  <c r="E31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" i="7"/>
  <c r="A47" i="7"/>
  <c r="A48" i="7"/>
  <c r="A49" i="7"/>
  <c r="A50" i="7"/>
  <c r="A51" i="7"/>
  <c r="A35" i="7"/>
  <c r="A36" i="7"/>
  <c r="A37" i="7"/>
  <c r="A38" i="7"/>
  <c r="A39" i="7"/>
  <c r="A40" i="7"/>
  <c r="A41" i="7"/>
  <c r="A42" i="7"/>
  <c r="A43" i="7"/>
  <c r="A44" i="7"/>
  <c r="A45" i="7"/>
  <c r="A46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5" i="7"/>
  <c r="H24" i="9"/>
  <c r="H25" i="9"/>
  <c r="H26" i="9"/>
  <c r="H27" i="9"/>
  <c r="H28" i="9"/>
  <c r="H29" i="9"/>
  <c r="H30" i="9"/>
  <c r="H31" i="9"/>
  <c r="H32" i="9"/>
  <c r="H23" i="9"/>
  <c r="G24" i="9"/>
  <c r="G25" i="9"/>
  <c r="G26" i="9"/>
  <c r="G27" i="9"/>
  <c r="G28" i="9"/>
  <c r="G29" i="9"/>
  <c r="G30" i="9"/>
  <c r="G31" i="9"/>
  <c r="G32" i="9"/>
  <c r="G23" i="9"/>
  <c r="H19" i="9"/>
  <c r="H18" i="9"/>
  <c r="H17" i="9"/>
  <c r="H16" i="9"/>
  <c r="H15" i="9"/>
  <c r="H14" i="9"/>
  <c r="H13" i="9"/>
  <c r="H12" i="9"/>
  <c r="H11" i="9"/>
  <c r="H10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" i="9"/>
  <c r="C5" i="9" a="1"/>
  <c r="C5" i="9"/>
  <c r="B5" i="9" a="1"/>
  <c r="B5" i="9"/>
  <c r="A5" i="9" a="1"/>
  <c r="A5" i="9" s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P24" i="4"/>
  <c r="C30" i="4"/>
  <c r="D11" i="4"/>
  <c r="D30" i="4"/>
  <c r="P12" i="4"/>
  <c r="P9" i="4"/>
  <c r="P13" i="4"/>
  <c r="P14" i="4"/>
  <c r="P15" i="4"/>
  <c r="P17" i="4"/>
  <c r="P7" i="4"/>
  <c r="P16" i="4"/>
  <c r="P11" i="4"/>
  <c r="P8" i="4"/>
  <c r="P19" i="4"/>
  <c r="P20" i="4"/>
  <c r="P18" i="4"/>
  <c r="P10" i="4"/>
  <c r="D14" i="4"/>
  <c r="D9" i="4"/>
  <c r="D13" i="4"/>
  <c r="D19" i="4"/>
  <c r="D7" i="4"/>
  <c r="D12" i="4"/>
  <c r="D10" i="4"/>
  <c r="D15" i="4"/>
  <c r="D16" i="4"/>
  <c r="D17" i="4"/>
  <c r="D20" i="4"/>
  <c r="D8" i="4"/>
  <c r="D18" i="4"/>
  <c r="K8" i="3"/>
  <c r="L8" i="3"/>
  <c r="K9" i="3"/>
  <c r="L9" i="3"/>
  <c r="K10" i="3"/>
  <c r="L10" i="3"/>
  <c r="K11" i="3"/>
  <c r="L11" i="3"/>
  <c r="D103" i="3"/>
  <c r="N8" i="3"/>
  <c r="N9" i="3"/>
  <c r="N10" i="3"/>
  <c r="N11" i="3"/>
  <c r="L12" i="3"/>
  <c r="N12" i="3" s="1"/>
  <c r="L13" i="3"/>
  <c r="N13" i="3" s="1"/>
  <c r="L14" i="3"/>
  <c r="N14" i="3" s="1"/>
  <c r="L15" i="3"/>
  <c r="N15" i="3" s="1"/>
  <c r="L16" i="3"/>
  <c r="N16" i="3" s="1"/>
  <c r="L17" i="3"/>
  <c r="N17" i="3" s="1"/>
  <c r="L18" i="3"/>
  <c r="N18" i="3" s="1"/>
  <c r="L19" i="3"/>
  <c r="N19" i="3" s="1"/>
  <c r="L20" i="3"/>
  <c r="N20" i="3" s="1"/>
  <c r="L21" i="3"/>
  <c r="N21" i="3" s="1"/>
  <c r="L22" i="3"/>
  <c r="N22" i="3" s="1"/>
  <c r="L23" i="3"/>
  <c r="N23" i="3" s="1"/>
  <c r="L24" i="3"/>
  <c r="N24" i="3" s="1"/>
  <c r="L25" i="3"/>
  <c r="N25" i="3" s="1"/>
  <c r="L26" i="3"/>
  <c r="N26" i="3" s="1"/>
  <c r="L27" i="3"/>
  <c r="N27" i="3" s="1"/>
  <c r="L28" i="3"/>
  <c r="N28" i="3" s="1"/>
  <c r="L29" i="3"/>
  <c r="N29" i="3" s="1"/>
  <c r="L30" i="3"/>
  <c r="N30" i="3" s="1"/>
  <c r="L31" i="3"/>
  <c r="N31" i="3" s="1"/>
  <c r="L32" i="3"/>
  <c r="N32" i="3" s="1"/>
  <c r="L33" i="3"/>
  <c r="N33" i="3" s="1"/>
  <c r="L34" i="3"/>
  <c r="N34" i="3" s="1"/>
  <c r="L35" i="3"/>
  <c r="N35" i="3" s="1"/>
  <c r="L36" i="3"/>
  <c r="N36" i="3" s="1"/>
  <c r="L37" i="3"/>
  <c r="N37" i="3" s="1"/>
  <c r="L38" i="3"/>
  <c r="N38" i="3" s="1"/>
  <c r="L39" i="3"/>
  <c r="N39" i="3" s="1"/>
  <c r="L40" i="3"/>
  <c r="N40" i="3" s="1"/>
  <c r="L41" i="3"/>
  <c r="N41" i="3" s="1"/>
  <c r="L42" i="3"/>
  <c r="N42" i="3" s="1"/>
  <c r="L43" i="3"/>
  <c r="N43" i="3" s="1"/>
  <c r="L44" i="3"/>
  <c r="N44" i="3" s="1"/>
  <c r="L45" i="3"/>
  <c r="N45" i="3" s="1"/>
  <c r="L46" i="3"/>
  <c r="N46" i="3" s="1"/>
  <c r="L47" i="3"/>
  <c r="N47" i="3" s="1"/>
  <c r="L48" i="3"/>
  <c r="N48" i="3" s="1"/>
  <c r="L49" i="3"/>
  <c r="N49" i="3" s="1"/>
  <c r="L50" i="3"/>
  <c r="N50" i="3" s="1"/>
  <c r="L51" i="3"/>
  <c r="N51" i="3" s="1"/>
  <c r="L52" i="3"/>
  <c r="N52" i="3" s="1"/>
  <c r="L53" i="3"/>
  <c r="N53" i="3" s="1"/>
  <c r="L54" i="3"/>
  <c r="N54" i="3" s="1"/>
  <c r="L55" i="3"/>
  <c r="N55" i="3" s="1"/>
  <c r="L56" i="3"/>
  <c r="N56" i="3" s="1"/>
  <c r="L57" i="3"/>
  <c r="N57" i="3" s="1"/>
  <c r="L58" i="3"/>
  <c r="N58" i="3" s="1"/>
  <c r="L59" i="3"/>
  <c r="N59" i="3" s="1"/>
  <c r="L60" i="3"/>
  <c r="N60" i="3" s="1"/>
  <c r="L61" i="3"/>
  <c r="N61" i="3" s="1"/>
  <c r="L62" i="3"/>
  <c r="N62" i="3" s="1"/>
  <c r="L63" i="3"/>
  <c r="N63" i="3" s="1"/>
  <c r="L64" i="3"/>
  <c r="N64" i="3" s="1"/>
  <c r="L65" i="3"/>
  <c r="N65" i="3" s="1"/>
  <c r="L66" i="3"/>
  <c r="N66" i="3" s="1"/>
  <c r="L67" i="3"/>
  <c r="N67" i="3" s="1"/>
  <c r="L68" i="3"/>
  <c r="N68" i="3" s="1"/>
  <c r="L69" i="3"/>
  <c r="N69" i="3" s="1"/>
  <c r="L70" i="3"/>
  <c r="N70" i="3" s="1"/>
  <c r="L71" i="3"/>
  <c r="N71" i="3" s="1"/>
  <c r="L72" i="3"/>
  <c r="N72" i="3" s="1"/>
  <c r="L73" i="3"/>
  <c r="N73" i="3" s="1"/>
  <c r="L74" i="3"/>
  <c r="N74" i="3" s="1"/>
  <c r="L75" i="3"/>
  <c r="N75" i="3" s="1"/>
  <c r="L76" i="3"/>
  <c r="N76" i="3" s="1"/>
  <c r="L77" i="3"/>
  <c r="N77" i="3" s="1"/>
  <c r="L78" i="3"/>
  <c r="N78" i="3" s="1"/>
  <c r="L79" i="3"/>
  <c r="N79" i="3" s="1"/>
  <c r="L80" i="3"/>
  <c r="N80" i="3" s="1"/>
  <c r="L81" i="3"/>
  <c r="N81" i="3" s="1"/>
  <c r="L82" i="3"/>
  <c r="N82" i="3" s="1"/>
  <c r="L83" i="3"/>
  <c r="N83" i="3" s="1"/>
  <c r="L84" i="3"/>
  <c r="N84" i="3" s="1"/>
  <c r="L85" i="3"/>
  <c r="N85" i="3" s="1"/>
  <c r="L7" i="3"/>
  <c r="N7" i="3" s="1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D101" i="3" s="1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7" i="3"/>
  <c r="B7" i="3"/>
  <c r="C7" i="3"/>
  <c r="E7" i="3" s="1"/>
  <c r="B8" i="3"/>
  <c r="C8" i="3"/>
  <c r="E8" i="3" s="1"/>
  <c r="B9" i="3"/>
  <c r="C9" i="3"/>
  <c r="E9" i="3" s="1"/>
  <c r="B10" i="3"/>
  <c r="C10" i="3"/>
  <c r="E10" i="3" s="1"/>
  <c r="B11" i="3"/>
  <c r="C11" i="3"/>
  <c r="E11" i="3" s="1"/>
  <c r="B12" i="3"/>
  <c r="C12" i="3"/>
  <c r="E12" i="3" s="1"/>
  <c r="B13" i="3"/>
  <c r="C13" i="3"/>
  <c r="E13" i="3" s="1"/>
  <c r="B14" i="3"/>
  <c r="C14" i="3"/>
  <c r="E14" i="3" s="1"/>
  <c r="B15" i="3"/>
  <c r="C15" i="3"/>
  <c r="E15" i="3" s="1"/>
  <c r="B16" i="3"/>
  <c r="C16" i="3"/>
  <c r="E16" i="3" s="1"/>
  <c r="B17" i="3"/>
  <c r="C17" i="3"/>
  <c r="E17" i="3" s="1"/>
  <c r="B18" i="3"/>
  <c r="C18" i="3"/>
  <c r="E18" i="3" s="1"/>
  <c r="B19" i="3"/>
  <c r="C19" i="3"/>
  <c r="E19" i="3" s="1"/>
  <c r="B20" i="3"/>
  <c r="C20" i="3"/>
  <c r="E20" i="3" s="1"/>
  <c r="B21" i="3"/>
  <c r="C21" i="3"/>
  <c r="E21" i="3" s="1"/>
  <c r="B22" i="3"/>
  <c r="C22" i="3"/>
  <c r="E22" i="3" s="1"/>
  <c r="B23" i="3"/>
  <c r="C23" i="3"/>
  <c r="E23" i="3" s="1"/>
  <c r="B24" i="3"/>
  <c r="C24" i="3"/>
  <c r="E24" i="3" s="1"/>
  <c r="B25" i="3"/>
  <c r="C25" i="3"/>
  <c r="E25" i="3" s="1"/>
  <c r="B26" i="3"/>
  <c r="C26" i="3"/>
  <c r="E26" i="3" s="1"/>
  <c r="B27" i="3"/>
  <c r="C27" i="3"/>
  <c r="E27" i="3" s="1"/>
  <c r="B28" i="3"/>
  <c r="C28" i="3"/>
  <c r="E28" i="3" s="1"/>
  <c r="B29" i="3"/>
  <c r="C29" i="3"/>
  <c r="E29" i="3" s="1"/>
  <c r="B30" i="3"/>
  <c r="C30" i="3"/>
  <c r="E30" i="3" s="1"/>
  <c r="B31" i="3"/>
  <c r="C31" i="3"/>
  <c r="E31" i="3" s="1"/>
  <c r="B32" i="3"/>
  <c r="C32" i="3"/>
  <c r="E32" i="3" s="1"/>
  <c r="B33" i="3"/>
  <c r="C33" i="3"/>
  <c r="E33" i="3" s="1"/>
  <c r="B34" i="3"/>
  <c r="C34" i="3"/>
  <c r="E34" i="3" s="1"/>
  <c r="B35" i="3"/>
  <c r="C35" i="3"/>
  <c r="E35" i="3" s="1"/>
  <c r="B36" i="3"/>
  <c r="C36" i="3"/>
  <c r="E36" i="3" s="1"/>
  <c r="B37" i="3"/>
  <c r="C37" i="3"/>
  <c r="E37" i="3" s="1"/>
  <c r="B38" i="3"/>
  <c r="C38" i="3"/>
  <c r="E38" i="3" s="1"/>
  <c r="B39" i="3"/>
  <c r="C39" i="3"/>
  <c r="E39" i="3" s="1"/>
  <c r="B40" i="3"/>
  <c r="C40" i="3"/>
  <c r="E40" i="3" s="1"/>
  <c r="B41" i="3"/>
  <c r="C41" i="3"/>
  <c r="E41" i="3" s="1"/>
  <c r="B42" i="3"/>
  <c r="C42" i="3"/>
  <c r="E42" i="3" s="1"/>
  <c r="B43" i="3"/>
  <c r="C43" i="3"/>
  <c r="E43" i="3" s="1"/>
  <c r="B44" i="3"/>
  <c r="C44" i="3"/>
  <c r="E44" i="3" s="1"/>
  <c r="B45" i="3"/>
  <c r="C45" i="3"/>
  <c r="E45" i="3" s="1"/>
  <c r="B46" i="3"/>
  <c r="C46" i="3"/>
  <c r="E46" i="3" s="1"/>
  <c r="B47" i="3"/>
  <c r="C47" i="3"/>
  <c r="E47" i="3" s="1"/>
  <c r="B48" i="3"/>
  <c r="C48" i="3"/>
  <c r="E48" i="3" s="1"/>
  <c r="B49" i="3"/>
  <c r="C49" i="3"/>
  <c r="E49" i="3" s="1"/>
  <c r="B50" i="3"/>
  <c r="C50" i="3"/>
  <c r="E50" i="3" s="1"/>
  <c r="B51" i="3"/>
  <c r="C51" i="3"/>
  <c r="E51" i="3" s="1"/>
  <c r="B52" i="3"/>
  <c r="C52" i="3"/>
  <c r="E52" i="3" s="1"/>
  <c r="B53" i="3"/>
  <c r="C53" i="3"/>
  <c r="E53" i="3" s="1"/>
  <c r="B54" i="3"/>
  <c r="C54" i="3"/>
  <c r="E54" i="3" s="1"/>
  <c r="B55" i="3"/>
  <c r="C55" i="3"/>
  <c r="E55" i="3" s="1"/>
  <c r="B56" i="3"/>
  <c r="C56" i="3"/>
  <c r="E56" i="3" s="1"/>
  <c r="B57" i="3"/>
  <c r="C57" i="3"/>
  <c r="E57" i="3" s="1"/>
  <c r="B58" i="3"/>
  <c r="C58" i="3"/>
  <c r="E58" i="3" s="1"/>
  <c r="B59" i="3"/>
  <c r="C59" i="3"/>
  <c r="E59" i="3" s="1"/>
  <c r="B60" i="3"/>
  <c r="C60" i="3"/>
  <c r="E60" i="3" s="1"/>
  <c r="B61" i="3"/>
  <c r="C61" i="3"/>
  <c r="E61" i="3" s="1"/>
  <c r="B62" i="3"/>
  <c r="C62" i="3"/>
  <c r="E62" i="3" s="1"/>
  <c r="B63" i="3"/>
  <c r="C63" i="3"/>
  <c r="E63" i="3" s="1"/>
  <c r="B64" i="3"/>
  <c r="C64" i="3"/>
  <c r="E64" i="3" s="1"/>
  <c r="B65" i="3"/>
  <c r="C65" i="3"/>
  <c r="E65" i="3" s="1"/>
  <c r="B66" i="3"/>
  <c r="C66" i="3"/>
  <c r="E66" i="3" s="1"/>
  <c r="B67" i="3"/>
  <c r="C67" i="3"/>
  <c r="E67" i="3" s="1"/>
  <c r="B68" i="3"/>
  <c r="C68" i="3"/>
  <c r="E68" i="3" s="1"/>
  <c r="B69" i="3"/>
  <c r="C69" i="3"/>
  <c r="E69" i="3" s="1"/>
  <c r="B70" i="3"/>
  <c r="C70" i="3"/>
  <c r="E70" i="3" s="1"/>
  <c r="B71" i="3"/>
  <c r="C71" i="3"/>
  <c r="E71" i="3" s="1"/>
  <c r="B72" i="3"/>
  <c r="C72" i="3"/>
  <c r="E72" i="3" s="1"/>
  <c r="B73" i="3"/>
  <c r="C73" i="3"/>
  <c r="E73" i="3" s="1"/>
  <c r="B74" i="3"/>
  <c r="C74" i="3"/>
  <c r="E74" i="3" s="1"/>
  <c r="B75" i="3"/>
  <c r="C75" i="3"/>
  <c r="E75" i="3" s="1"/>
  <c r="B76" i="3"/>
  <c r="C76" i="3"/>
  <c r="E76" i="3" s="1"/>
  <c r="B77" i="3"/>
  <c r="C77" i="3"/>
  <c r="E77" i="3" s="1"/>
  <c r="B78" i="3"/>
  <c r="C78" i="3"/>
  <c r="E78" i="3" s="1"/>
  <c r="B79" i="3"/>
  <c r="C79" i="3"/>
  <c r="E79" i="3" s="1"/>
  <c r="B80" i="3"/>
  <c r="C80" i="3"/>
  <c r="E80" i="3" s="1"/>
  <c r="B81" i="3"/>
  <c r="C81" i="3"/>
  <c r="E81" i="3" s="1"/>
  <c r="B82" i="3"/>
  <c r="C82" i="3"/>
  <c r="E82" i="3" s="1"/>
  <c r="B83" i="3"/>
  <c r="C83" i="3"/>
  <c r="E83" i="3" s="1"/>
  <c r="B84" i="3"/>
  <c r="C84" i="3"/>
  <c r="E84" i="3" s="1"/>
  <c r="B85" i="3"/>
  <c r="C85" i="3"/>
  <c r="E85" i="3" s="1"/>
  <c r="B86" i="3"/>
  <c r="C86" i="3"/>
  <c r="E86" i="3" s="1"/>
  <c r="B87" i="3"/>
  <c r="C87" i="3"/>
  <c r="E87" i="3" s="1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J5" i="12" l="1"/>
  <c r="I5" i="12"/>
  <c r="C5" i="12"/>
  <c r="F5" i="12" s="1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5" i="12"/>
  <c r="G54" i="12"/>
  <c r="G53" i="12"/>
  <c r="G52" i="12"/>
  <c r="H34" i="11"/>
  <c r="G34" i="11"/>
  <c r="F98" i="8"/>
  <c r="B100" i="8"/>
  <c r="B99" i="8"/>
  <c r="G85" i="8"/>
  <c r="F85" i="8"/>
  <c r="G84" i="8"/>
  <c r="F84" i="8"/>
  <c r="G83" i="8"/>
  <c r="F83" i="8"/>
  <c r="G82" i="8"/>
  <c r="F82" i="8"/>
  <c r="G81" i="8"/>
  <c r="F81" i="8"/>
  <c r="G80" i="8"/>
  <c r="F80" i="8"/>
  <c r="G79" i="8"/>
  <c r="F79" i="8"/>
  <c r="G78" i="8"/>
  <c r="F78" i="8"/>
  <c r="G77" i="8"/>
  <c r="F77" i="8"/>
  <c r="G76" i="8"/>
  <c r="F76" i="8"/>
  <c r="G75" i="8"/>
  <c r="F75" i="8"/>
  <c r="G74" i="8"/>
  <c r="F74" i="8"/>
  <c r="G73" i="8"/>
  <c r="F73" i="8"/>
  <c r="G72" i="8"/>
  <c r="F72" i="8"/>
  <c r="G71" i="8"/>
  <c r="F71" i="8"/>
  <c r="G70" i="8"/>
  <c r="F70" i="8"/>
  <c r="G69" i="8"/>
  <c r="F69" i="8"/>
  <c r="G68" i="8"/>
  <c r="F68" i="8"/>
  <c r="G67" i="8"/>
  <c r="F67" i="8"/>
  <c r="G66" i="8"/>
  <c r="F66" i="8"/>
  <c r="G65" i="8"/>
  <c r="F65" i="8"/>
  <c r="G64" i="8"/>
  <c r="F64" i="8"/>
  <c r="G63" i="8"/>
  <c r="F63" i="8"/>
  <c r="G62" i="8"/>
  <c r="F62" i="8"/>
  <c r="G61" i="8"/>
  <c r="F61" i="8"/>
  <c r="G60" i="8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D134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21" i="8"/>
  <c r="C104" i="3"/>
  <c r="C101" i="3"/>
  <c r="D24" i="4"/>
  <c r="C103" i="3"/>
  <c r="D114" i="8"/>
  <c r="D115" i="8"/>
  <c r="D116" i="8"/>
  <c r="D113" i="8"/>
  <c r="C114" i="8"/>
  <c r="C115" i="8"/>
  <c r="C116" i="8"/>
  <c r="C113" i="8"/>
  <c r="B116" i="8"/>
  <c r="B115" i="8"/>
  <c r="B114" i="8"/>
  <c r="B113" i="8"/>
  <c r="D5" i="7"/>
  <c r="A20" i="4"/>
  <c r="A17" i="4"/>
  <c r="A16" i="4"/>
  <c r="A15" i="4"/>
  <c r="A10" i="4"/>
  <c r="A12" i="4"/>
  <c r="A7" i="4"/>
  <c r="A19" i="4"/>
  <c r="A13" i="4"/>
  <c r="A9" i="4"/>
  <c r="A14" i="4"/>
  <c r="A11" i="4"/>
  <c r="D32" i="4"/>
  <c r="M10" i="4"/>
  <c r="M18" i="4"/>
  <c r="R18" i="4"/>
  <c r="AA14" i="4" s="1"/>
  <c r="M20" i="4"/>
  <c r="R20" i="4"/>
  <c r="AA17" i="4" s="1"/>
  <c r="M19" i="4"/>
  <c r="R19" i="4"/>
  <c r="AA8" i="4" s="1"/>
  <c r="M8" i="4"/>
  <c r="R8" i="4"/>
  <c r="AA19" i="4" s="1"/>
  <c r="M11" i="4"/>
  <c r="R11" i="4"/>
  <c r="AA10" i="4" s="1"/>
  <c r="M16" i="4"/>
  <c r="R16" i="4"/>
  <c r="AA11" i="4" s="1"/>
  <c r="M7" i="4"/>
  <c r="R7" i="4"/>
  <c r="AA9" i="4" s="1"/>
  <c r="M17" i="4"/>
  <c r="R17" i="4"/>
  <c r="AA7" i="4" s="1"/>
  <c r="M15" i="4"/>
  <c r="R15" i="4"/>
  <c r="AA15" i="4" s="1"/>
  <c r="M14" i="4"/>
  <c r="R14" i="4"/>
  <c r="AA6" i="4" s="1"/>
  <c r="M13" i="4"/>
  <c r="R13" i="4"/>
  <c r="AA13" i="4" s="1"/>
  <c r="M9" i="4"/>
  <c r="R9" i="4"/>
  <c r="AA16" i="4" s="1"/>
  <c r="M12" i="4"/>
  <c r="R12" i="4"/>
  <c r="AA12" i="4" s="1"/>
  <c r="C32" i="4"/>
  <c r="A8" i="4"/>
  <c r="A18" i="4"/>
  <c r="D104" i="3"/>
  <c r="J7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G5" i="12" l="1"/>
  <c r="G121" i="8"/>
  <c r="F121" i="8"/>
  <c r="G134" i="8"/>
  <c r="F134" i="8"/>
  <c r="G133" i="8"/>
  <c r="F133" i="8"/>
  <c r="G132" i="8"/>
  <c r="F132" i="8"/>
  <c r="G131" i="8"/>
  <c r="F131" i="8"/>
  <c r="G130" i="8"/>
  <c r="F130" i="8"/>
  <c r="G129" i="8"/>
  <c r="F129" i="8"/>
  <c r="G128" i="8"/>
  <c r="F128" i="8"/>
  <c r="G127" i="8"/>
  <c r="F127" i="8"/>
  <c r="G126" i="8"/>
  <c r="F126" i="8"/>
  <c r="G125" i="8"/>
  <c r="F125" i="8"/>
  <c r="G124" i="8"/>
  <c r="F124" i="8"/>
  <c r="G123" i="8"/>
  <c r="F123" i="8"/>
  <c r="G122" i="8"/>
  <c r="F122" i="8"/>
  <c r="F113" i="8"/>
  <c r="F116" i="8"/>
  <c r="F115" i="8"/>
  <c r="F114" i="8"/>
  <c r="F5" i="7"/>
  <c r="E5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F11" i="4"/>
  <c r="Z18" i="4" s="1"/>
  <c r="D31" i="4"/>
  <c r="R10" i="4"/>
  <c r="AA18" i="4" s="1"/>
  <c r="C31" i="4"/>
  <c r="F14" i="4"/>
  <c r="Z12" i="4" s="1"/>
  <c r="F9" i="4"/>
  <c r="Z16" i="4" s="1"/>
  <c r="F13" i="4"/>
  <c r="Z13" i="4" s="1"/>
  <c r="F19" i="4"/>
  <c r="Z6" i="4" s="1"/>
  <c r="F7" i="4"/>
  <c r="Z15" i="4" s="1"/>
  <c r="F12" i="4"/>
  <c r="Z7" i="4" s="1"/>
  <c r="F10" i="4"/>
  <c r="Z9" i="4" s="1"/>
  <c r="F15" i="4"/>
  <c r="Z11" i="4" s="1"/>
  <c r="F16" i="4"/>
  <c r="Z10" i="4" s="1"/>
  <c r="F17" i="4"/>
  <c r="Z19" i="4" s="1"/>
  <c r="F20" i="4"/>
  <c r="Z8" i="4" s="1"/>
  <c r="F8" i="4"/>
  <c r="Z17" i="4" s="1"/>
  <c r="F18" i="4"/>
  <c r="Z14" i="4" s="1"/>
  <c r="C33" i="4"/>
  <c r="F6" i="7" l="1"/>
  <c r="E6" i="7"/>
  <c r="F7" i="7"/>
  <c r="E7" i="7"/>
  <c r="F8" i="7"/>
  <c r="E8" i="7"/>
  <c r="F9" i="7"/>
  <c r="E9" i="7"/>
  <c r="F10" i="7"/>
  <c r="E10" i="7"/>
  <c r="F11" i="7"/>
  <c r="E11" i="7"/>
  <c r="F12" i="7"/>
  <c r="E12" i="7"/>
  <c r="F13" i="7"/>
  <c r="E13" i="7"/>
  <c r="F14" i="7"/>
  <c r="E14" i="7"/>
  <c r="F15" i="7"/>
  <c r="E15" i="7"/>
  <c r="F16" i="7"/>
  <c r="E16" i="7"/>
  <c r="F17" i="7"/>
  <c r="E17" i="7"/>
  <c r="F18" i="7"/>
  <c r="E18" i="7"/>
  <c r="F19" i="7"/>
  <c r="E19" i="7"/>
  <c r="F20" i="7"/>
  <c r="E20" i="7"/>
  <c r="F21" i="7"/>
  <c r="E21" i="7"/>
  <c r="F22" i="7"/>
  <c r="E22" i="7"/>
  <c r="F23" i="7"/>
  <c r="E23" i="7"/>
  <c r="F24" i="7"/>
  <c r="E24" i="7"/>
  <c r="F25" i="7"/>
  <c r="E25" i="7"/>
  <c r="F26" i="7"/>
  <c r="E26" i="7"/>
  <c r="F27" i="7"/>
  <c r="E27" i="7"/>
  <c r="F28" i="7"/>
  <c r="E28" i="7"/>
  <c r="F29" i="7"/>
  <c r="E29" i="7"/>
  <c r="D3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<sst xmlns="http://schemas.openxmlformats.org/spreadsheetml/2006/main" count="1543" uniqueCount="441">
  <si>
    <t>S.No</t>
  </si>
  <si>
    <t>Skill</t>
  </si>
  <si>
    <t>Added Frequency</t>
  </si>
  <si>
    <t>Skill Percentage</t>
  </si>
  <si>
    <t>CSV Files Represented (Out of 13)</t>
  </si>
  <si>
    <t>Batch / CSV File Names</t>
  </si>
  <si>
    <t>Skill Category</t>
  </si>
  <si>
    <t>Python</t>
  </si>
  <si>
    <t>JD(1-10)_TOP25(2).csv, JD(11-20)_TOP25(2).csv, JD(21-30)_TOP25(2).csv, JD(31-40)_TOP25(2).csv, JD(41-50)_TOP25(2).csv, JD(51-60)_TOP25(2).csv, JD(61-70)_TOP25(2).csv, JD(71-80)_TOP25(2).csv, JD(81-90)_TOP25(2).csv, JD(91-100)_TOP25(2).csv, JD(101-111)_TOP25(2).csv, JD(112-120)_TOP25(2).csv, JD(121-130)_TOP25(2).csv</t>
  </si>
  <si>
    <t>Programming Languages</t>
  </si>
  <si>
    <t>Communication &amp; Collaboration</t>
  </si>
  <si>
    <t>JD(1-10)_TOP25(2).csv, JD(11-20)_TOP25(2).csv, JD(21-30)_TOP25(2).csv, JD(31-40)_TOP25(2).csv, JD(41-50)_TOP25(2).csv, JD(51-60)_TOP25(2).csv, JD(61-70)_TOP25(2).csv, JD(71-80)_TOP25(2).csv, JD(81-90)_TOP25(2).csv, JD(91-100)_TOP25(2).csv, JD(112-120)_TOP25(2).csv, JD(121-130)_TOP25(2).csv</t>
  </si>
  <si>
    <t>Professional &amp; Soft Skills</t>
  </si>
  <si>
    <t>Machine Learning</t>
  </si>
  <si>
    <t>Analytical Thinking &amp; Problem Solving</t>
  </si>
  <si>
    <t>JD(1-10)_TOP25(2).csv, JD(11-20)_TOP25(2).csv, JD(21-30)_TOP25(2).csv, JD(31-40)_TOP25(2).csv, JD(41-50)_TOP25(2).csv, JD(51-60)_TOP25(2).csv, JD(71-80)_TOP25(2).csv, JD(81-90)_TOP25(2).csv, JD(91-100)_TOP25(2).csv, JD(112-120)_TOP25(2).csv, JD(121-130)_TOP25(2).csv, JD(101-111)_TOP25(2).csv</t>
  </si>
  <si>
    <t>SQL</t>
  </si>
  <si>
    <t>Databases &amp; SQL</t>
  </si>
  <si>
    <t>Cloud Platforms (AWS / Azure / GCP)</t>
  </si>
  <si>
    <t>JD(1-10)_TOP25(2).csv, JD(11-20)_TOP25(2).csv, JD(21-30)_TOP25(2).csv, JD(31-40)_TOP25(2).csv, JD(41-50)_TOP25(2).csv, JD(51-60)_TOP25(2).csv, JD(61-70)_TOP25(2).csv, JD(71-80)_TOP25(2).csv, JD(81-90)_TOP25(2).csv, JD(91-100)_TOP25(2).csv, JD(112-120)_TOP25(2).csv, JD(121-130)_TOP25(2).csv, JD(101-111)_TOP25(2).csv</t>
  </si>
  <si>
    <t>Cloud &amp; MLOps</t>
  </si>
  <si>
    <t>Scikit-learn / NumPy / Pandas</t>
  </si>
  <si>
    <t>JD(1-10)_TOP25(2).csv, JD(11-20)_TOP25(2).csv, JD(31-40)_TOP25(2).csv, JD(41-50)_TOP25(2).csv, JD(51-60)_TOP25(2).csv, JD(61-70)_TOP25(2).csv, JD(71-80)_TOP25(2).csv, JD(101-111)_TOP25(2).csv, JD(121-130)_TOP25(2).csv, JD(21-30)_TOP25(2).csv, JD(81-90)_TOP25(2).csv, JD(91-100)_TOP25(2).csv</t>
  </si>
  <si>
    <t>Statistical Analysis</t>
  </si>
  <si>
    <t>JD(1-10)_TOP25(2).csv, JD(11-20)_TOP25(2).csv, JD(21-30)_TOP25(2).csv, JD(31-40)_TOP25(2).csv, JD(41-50)_TOP25(2).csv, JD(51-60)_TOP25(2).csv, JD(61-70)_TOP25(2).csv, JD(81-90)_TOP25(2).csv, JD(91-100)_TOP25(2).csv, JD(101-111)_TOP25(2).csv</t>
  </si>
  <si>
    <t>Data Analysis &amp; Statistics</t>
  </si>
  <si>
    <t>Large Language Models (LLMs)</t>
  </si>
  <si>
    <t>JD(1-10)_TOP25(2).csv, JD(11-20)_TOP25(2).csv, JD(21-30)_TOP25(2).csv, JD(41-50)_TOP25(2).csv, JD(61-70)_TOP25(2).csv, JD(71-80)_TOP25(2).csv, JD(81-90)_TOP25(2).csv, JD(91-100)_TOP25(2).csv, JD(101-111)_TOP25(2).csv, JD(112-120)_TOP25(2).csv, JD(121-130)_TOP25(2).csv</t>
  </si>
  <si>
    <t>Generative AI &amp; NLP</t>
  </si>
  <si>
    <t>Generative AI</t>
  </si>
  <si>
    <t>JD(1-10)_TOP25(2).csv, JD(11-20)_TOP25(2).csv, JD(41-50)_TOP25(2).csv, JD(51-60)_TOP25(2).csv, JD(61-70)_TOP25(2).csv, JD(71-80)_TOP25(2).csv, JD(81-90)_TOP25(2).csv, JD(91-100)_TOP25(2).csv, JD(112-120)_TOP25(2).csv, JD(121-130)_TOP25(2).csv</t>
  </si>
  <si>
    <t>PyTorch</t>
  </si>
  <si>
    <t>JD(1-10)_TOP25(2).csv, JD(11-20)_TOP25(2).csv, JD(21-30)_TOP25(2).csv, JD(31-40)_TOP25(2).csv, JD(41-50)_TOP25(2).csv, JD(51-60)_TOP25(2).csv, JD(61-70)_TOP25(2).csv, JD(71-80)_TOP25(2).csv, JD(81-90)_TOP25(2).csv, JD(101-111)_TOP25(2).csv, JD(121-130)_TOP25(2).csv</t>
  </si>
  <si>
    <t>Deep Learning</t>
  </si>
  <si>
    <t>TensorFlow / Keras</t>
  </si>
  <si>
    <t>JD(101-111)_TOP25(2).csv, JD(1-10)_TOP25(2).csv, JD(11-20)_TOP25(2).csv, JD(31-40)_TOP25(2).csv, JD(41-50)_TOP25(2).csv, JD(51-60)_TOP25(2).csv, JD(61-70)_TOP25(2).csv, JD(71-80)_TOP25(2).csv, JD(81-90)_TOP25(2).csv, JD(121-130)_TOP25(2).csv</t>
  </si>
  <si>
    <t>Data Visualization</t>
  </si>
  <si>
    <t>JD(1-10)_TOP25(2).csv, JD(11-20)_TOP25(2).csv, JD(21-30)_TOP25(2).csv, JD(31-40)_TOP25(2).csv, JD(41-50)_TOP25(2).csv, JD(51-60)_TOP25(2).csv, JD(61-70)_TOP25(2).csv, JD(91-100)_TOP25(2).csv, JD(101-111)_TOP25(2).csv, JD(121-130)_TOP25(2).csv</t>
  </si>
  <si>
    <t>Data Visualization &amp; BI</t>
  </si>
  <si>
    <t>Natural Language Processing (NLP)</t>
  </si>
  <si>
    <t>JD(1-10)_TOP25(2).csv, JD(21-30)_TOP25(2).csv, JD(41-50)_TOP25(2).csv, JD(51-60)_TOP25(2).csv, JD(61-70)_TOP25(2).csv, JD(71-80)_TOP25(2).csv, JD(81-90)_TOP25(2).csv, JD(91-100)_TOP25(2).csv, JD(101-111)_TOP25(2).csv, JD(121-130)_TOP25(2).csv</t>
  </si>
  <si>
    <t>JD(1-10)_TOP25(2).csv, JD(11-20)_TOP25(2).csv, JD(21-30)_TOP25(2).csv, JD(41-50)_TOP25(2).csv, JD(51-60)_TOP25(2).csv, JD(61-70)_TOP25(2).csv, JD(71-80)_TOP25(2).csv, JD(81-90)_TOP25(2).csv, JD(101-111)_TOP25(2).csv, JD(121-130)_TOP25(2).csv</t>
  </si>
  <si>
    <t>Feature Engineering</t>
  </si>
  <si>
    <t>JD(1-10)_TOP25(2).csv, JD(11-20)_TOP25(2).csv, JD(21-30)_TOP25(2).csv, JD(31-40)_TOP25(2).csv, JD(41-50)_TOP25(2).csv, JD(51-60)_TOP25(2).csv, JD(71-80)_TOP25(2).csv, JD(91-100)_TOP25(2).csv, JD(101-111)_TOP25(2).csv</t>
  </si>
  <si>
    <t>Prompt Engineering</t>
  </si>
  <si>
    <t>JD(1-10)_TOP25(2).csv, JD(11-20)_TOP25(2).csv, JD(21-30)_TOP25(2).csv, JD(41-50)_TOP25(2).csv, JD(81-90)_TOP25(2).csv, JD(91-100)_TOP25(2).csv, JD(112-120)_TOP25(2).csv, JD(121-130)_TOP25(2).csv</t>
  </si>
  <si>
    <t>Model Deployment &amp; Monitoring</t>
  </si>
  <si>
    <t>JD(1-10)_TOP25(2).csv, JD(11-20)_TOP25(2).csv, JD(21-30)_TOP25(2).csv, JD(31-40)_TOP25(2).csv, JD(41-50)_TOP25(2).csv, JD(51-60)_TOP25(2).csv, JD(121-130)_TOP25(2).csv</t>
  </si>
  <si>
    <t>MLOps</t>
  </si>
  <si>
    <t>JD(1-10)_TOP25(2).csv, JD(41-50)_TOP25(2).csv, JD(61-70)_TOP25(2).csv, JD(71-80)_TOP25(2).csv, JD(81-90)_TOP25(2).csv, JD(91-100)_TOP25(2).csv, JD(101-111)_TOP25(2).csv, JD(121-130)_TOP25(2).csv</t>
  </si>
  <si>
    <t>Data Preprocessing &amp; Cleaning</t>
  </si>
  <si>
    <t>JD(1-10)_TOP25(2).csv, JD(11-20)_TOP25(2).csv, JD(21-30)_TOP25(2).csv, JD(31-40)_TOP25(2).csv, JD(41-50)_TOP25(2).csv, JD(101-111)_TOP25(2).csv</t>
  </si>
  <si>
    <t>RAG Pipelines &amp; Semantic Search</t>
  </si>
  <si>
    <t>JD(1-10)_TOP25(2).csv, JD(81-90)_TOP25(2).csv, JD(91-100)_TOP25(2).csv, JD(112-120)_TOP25(2).csv, JD(121-130)_TOP25(2).csv</t>
  </si>
  <si>
    <t>Time Series Forecasting</t>
  </si>
  <si>
    <t>JD(31-40)_TOP25(2).csv, JD(51-60)_TOP25(2).csv, JD(61-70)_TOP25(2).csv, JD(71-80)_TOP25(2).csv</t>
  </si>
  <si>
    <t>Data Visualization &amp; Dashboards</t>
  </si>
  <si>
    <t>JD(71-80)_TOP25(2).csv, JD(81-90)_TOP25(2).csv, JD(112-120)_TOP25(2).csv</t>
  </si>
  <si>
    <t>Experimentation &amp; A/B Testing</t>
  </si>
  <si>
    <t>JD(11-20)_TOP25(2).csv, JD(21-30)_TOP25(2).csv, JD(31-40)_TOP25(2).csv, JD(41-50)_TOP25(2).csv</t>
  </si>
  <si>
    <t>Git / Version Control</t>
  </si>
  <si>
    <t>JD(11-20)_TOP25(2).csv, JD(51-60)_TOP25(2).csv, JD(91-100)_TOP25(2).csv, JD(112-120)_TOP25(2).csv</t>
  </si>
  <si>
    <t>Software Engineering</t>
  </si>
  <si>
    <t>Agentic AI Frameworks</t>
  </si>
  <si>
    <t>JD(11-20)_TOP25(2).csv, JD(21-30)_TOP25(2).csv, JD(41-50)_TOP25(2).csv, JD(81-90)_TOP25(2).csv, JD(112-120)_TOP25(2).csv, JD(121-130)_TOP25(2).csv</t>
  </si>
  <si>
    <t>Data Pipelines &amp; Automation</t>
  </si>
  <si>
    <t>JD(1-10)_TOP25(2).csv, JD(21-30)_TOP25(2).csv, JD(31-40)_TOP25(2).csv, JD(61-70)_TOP25(2).csv</t>
  </si>
  <si>
    <t>Data Engineering &amp; Big Data</t>
  </si>
  <si>
    <t>Hypothesis Testing</t>
  </si>
  <si>
    <t>JD(21-30)_TOP25(2).csv, JD(51-60)_TOP25(2).csv, JD(61-70)_TOP25(2).csv, JD(121-130)_TOP25(2).csv</t>
  </si>
  <si>
    <t>LLM Orchestration (LangChain / LangGraph / LlamaIndex)</t>
  </si>
  <si>
    <t>JD(21-30)_TOP25(2).csv, JD(112-120)_TOP25(2).csv, JD(41-50)_TOP25(2).csv, JD(91-100)_TOP25(2).csv</t>
  </si>
  <si>
    <t>R Programming</t>
  </si>
  <si>
    <t>JD(11-20)_TOP25(2).csv, JD(21-30)_TOP25(2).csv, JD(61-70)_TOP25(2).csv</t>
  </si>
  <si>
    <t>Vector Databases &amp; Embeddings</t>
  </si>
  <si>
    <t>JD(1-10)_TOP25(2).csv, JD(91-100)_TOP25(2).csv, JD(112-120)_TOP25(2).csv</t>
  </si>
  <si>
    <t>Anomaly Detection</t>
  </si>
  <si>
    <t>JD(51-60)_TOP25(2).csv, JD(81-90)_TOP25(2).csv, JD(91-100)_TOP25(2).csv</t>
  </si>
  <si>
    <t>Communication &amp; Stakeholder Management</t>
  </si>
  <si>
    <t>JD(101-111)_TOP25(2).csv</t>
  </si>
  <si>
    <t>Docker / Kubernetes</t>
  </si>
  <si>
    <t>JD(61-70)_TOP25(2).csv, JD(91-100)_TOP25(2).csv, JD(112-120)_TOP25(2).csv</t>
  </si>
  <si>
    <t>ETL / ELT Pipelines &amp; Data Pipelines</t>
  </si>
  <si>
    <t>JD(71-80)_TOP25(2).csv, JD(121-130)_TOP25(2).csv</t>
  </si>
  <si>
    <t>Exploratory Data Analysis (EDA)</t>
  </si>
  <si>
    <t>JD(11-20)_TOP25(2).csv, JD(31-40)_TOP25(2).csv, JD(41-50)_TOP25(2).csv, JD(71-80)_TOP25(2).csv</t>
  </si>
  <si>
    <t>Big Data (Hadoop / Spark)</t>
  </si>
  <si>
    <t>JD(31-40)_TOP25(2).csv, JD(41-50)_TOP25(2).csv, JD(91-100)_TOP25(2).csv</t>
  </si>
  <si>
    <t>A/B Testing</t>
  </si>
  <si>
    <t>JD(61-70)_TOP25(2).csv, JD(101-111)_TOP25(2).csv</t>
  </si>
  <si>
    <t>PySpark</t>
  </si>
  <si>
    <t>JD(61-70)_TOP25(2).csv, JD(71-80)_TOP25(2).csv</t>
  </si>
  <si>
    <t>REST APIs &amp; Microservices</t>
  </si>
  <si>
    <t>JD(91-100)_TOP25(2).csv, JD(112-120)_TOP25(2).csv</t>
  </si>
  <si>
    <t>Artificial Intelligence</t>
  </si>
  <si>
    <t>JD(112-120)_TOP25(2).csv</t>
  </si>
  <si>
    <t>CI/CD &amp; DevOps</t>
  </si>
  <si>
    <t>JD(81-90)_TOP25(2).csv, JD(112-120)_TOP25(2).csv</t>
  </si>
  <si>
    <t>Customer Segmentation &amp; Propensity Modeling</t>
  </si>
  <si>
    <t>JD(31-40)_TOP25(2).csv</t>
  </si>
  <si>
    <t>Domain Applications</t>
  </si>
  <si>
    <t>Data Preprocessing &amp; Augmentation</t>
  </si>
  <si>
    <t>JD(51-60)_TOP25(2).csv</t>
  </si>
  <si>
    <t>Hugging Face Transformers</t>
  </si>
  <si>
    <t>JD(1-10)_TOP25(2).csv, JD(121-130)_TOP25(2).csv</t>
  </si>
  <si>
    <t>Model Deployment</t>
  </si>
  <si>
    <t>Model Evaluation</t>
  </si>
  <si>
    <t>Multi-Agent Systems</t>
  </si>
  <si>
    <t>JD(21-30)_TOP25(2).csv, JD(112-120)_TOP25(2).csv</t>
  </si>
  <si>
    <t>Predictive Modeling</t>
  </si>
  <si>
    <t>Statistical Modeling</t>
  </si>
  <si>
    <t>JD(71-80)_TOP25(2).csv</t>
  </si>
  <si>
    <t>Supervised Learning</t>
  </si>
  <si>
    <t>Tableau</t>
  </si>
  <si>
    <t>Agent Evaluation Frameworks (RAGAS / LLM-as-Judge)</t>
  </si>
  <si>
    <t>Agentic AI / Agent Benchmarking</t>
  </si>
  <si>
    <t>Customer Segmentation</t>
  </si>
  <si>
    <t>JD(61-70)_TOP25(2).csv</t>
  </si>
  <si>
    <t>Fraud Detection &amp; Risk Analytics</t>
  </si>
  <si>
    <t>NoSQL Databases</t>
  </si>
  <si>
    <t>REST APIs (Flask / FastAPI)</t>
  </si>
  <si>
    <t>JD(81-90)_TOP25(2).csv</t>
  </si>
  <si>
    <t>React / Frontend Frameworks</t>
  </si>
  <si>
    <t>Recommendation Systems</t>
  </si>
  <si>
    <t>SQL / Relational Databases</t>
  </si>
  <si>
    <t>Algorithms &amp; Data Structures</t>
  </si>
  <si>
    <t>Azure Databricks</t>
  </si>
  <si>
    <t>Bayesian Methods / Causal Inference</t>
  </si>
  <si>
    <t>C / C++</t>
  </si>
  <si>
    <t>JD(121-130)_TOP25(2).csv</t>
  </si>
  <si>
    <t>CI/CD Workflows</t>
  </si>
  <si>
    <t>Causal Inference</t>
  </si>
  <si>
    <t>Cloud Data Warehousing (BigQuery / Redshift)</t>
  </si>
  <si>
    <t>Computer Vision</t>
  </si>
  <si>
    <t>Computer Vision / Image Processing</t>
  </si>
  <si>
    <t>JD(11-20)_TOP25(2).csv</t>
  </si>
  <si>
    <t>Data Mining</t>
  </si>
  <si>
    <t>JD(1-10)_TOP25(2).csv</t>
  </si>
  <si>
    <t>Experimental Design &amp; A/B Testing</t>
  </si>
  <si>
    <t>Experimentation &amp; Model Fine-Tuning</t>
  </si>
  <si>
    <t>JD(91-100)_TOP25(2).csv</t>
  </si>
  <si>
    <t>Fine-Tuning LLMs</t>
  </si>
  <si>
    <t>Large-Scale Data Processing / Big Data</t>
  </si>
  <si>
    <t>Model Evaluation &amp; Optimization</t>
  </si>
  <si>
    <t>Predictive Analytics</t>
  </si>
  <si>
    <t>Reporting &amp; Documentation</t>
  </si>
  <si>
    <t>AI Safety &amp; Responsible AI</t>
  </si>
  <si>
    <t>Autonomous Driving / ADAS</t>
  </si>
  <si>
    <t>Browser Automation</t>
  </si>
  <si>
    <t>CSV Files Represented (Out of 16)</t>
  </si>
  <si>
    <t>CSV Files Mentioning</t>
  </si>
  <si>
    <t>Statistics</t>
  </si>
  <si>
    <t>CSVU1.csv, CSVU10.csv, CSVU11.csv, CSVU12.csv, CSVU13.csv, CSVU14.csv, CSVU15.csv, CSVU16.csv, CSVU2.csv, CSVU3.csv, CSVU4.csv, CSVU5.csv, CSVU6.csv, CSVU7.csv, CSVU8.csv, CSVU9.csv</t>
  </si>
  <si>
    <t>Data Structures</t>
  </si>
  <si>
    <t>CSVU10.csv, CSVU11.csv, CSVU12.csv, CSVU13.csv, CSVU14.csv, CSVU15.csv, CSVU16.csv, CSVU2.csv, CSVU3.csv, CSVU4.csv, CSVU5.csv, CSVU6.csv, CSVU7.csv, CSVU8.csv, CSVU9.csv</t>
  </si>
  <si>
    <t>CSVU1.csv, CSVU10.csv, CSVU12.csv, CSVU13.csv, CSVU14.csv, CSVU15.csv, CSVU16.csv, CSVU2.csv, CSVU3.csv, CSVU4.csv, CSVU5.csv, CSVU6.csv, CSVU7.csv, CSVU8.csv, CSVU9.csv</t>
  </si>
  <si>
    <t>CSVU1.csv, CSVU11.csv, CSVU12.csv, CSVU13.csv, CSVU14.csv, CSVU15.csv, CSVU16.csv, CSVU2.csv, CSVU3.csv, CSVU4.csv, CSVU5.csv, CSVU6.csv, CSVU7.csv, CSVU9.csv</t>
  </si>
  <si>
    <t>Probability</t>
  </si>
  <si>
    <t>CSVU1.csv, CSVU10.csv, CSVU12.csv, CSVU13.csv, CSVU14.csv, CSVU15.csv, CSVU16.csv, CSVU3.csv, CSVU4.csv, CSVU6.csv, CSVU7.csv, CSVU8.csv, CSVU9.csv</t>
  </si>
  <si>
    <t>Natural Language Processing</t>
  </si>
  <si>
    <t>CSVU10.csv, CSVU11.csv, CSVU12.csv, CSVU13.csv, CSVU14.csv, CSVU15.csv, CSVU16.csv, CSVU2.csv, CSVU3.csv, CSVU4.csv, CSVU5.csv, CSVU7.csv, CSVU8.csv, CSVU9.csv</t>
  </si>
  <si>
    <t>Data Analytics</t>
  </si>
  <si>
    <t>CSVU1.csv, CSVU10.csv, CSVU11.csv, CSVU12.csv, CSVU14.csv, CSVU2.csv, CSVU3.csv, CSVU5.csv, CSVU6.csv, CSVU7.csv, CSVU8.csv, CSVU9.csv</t>
  </si>
  <si>
    <t>Database Management Systems</t>
  </si>
  <si>
    <t>CSVU1.csv, CSVU10.csv, CSVU11.csv, CSVU13.csv, CSVU15.csv, CSVU16.csv, CSVU4.csv, CSVU5.csv, CSVU6.csv, CSVU7.csv, CSVU8.csv</t>
  </si>
  <si>
    <t>Cloud Computing</t>
  </si>
  <si>
    <t>CSVU1.csv, CSVU10.csv, CSVU11.csv, CSVU13.csv, CSVU15.csv, CSVU16.csv, CSVU2.csv, CSVU3.csv, CSVU4.csv, CSVU6.csv, CSVU8.csv, CSVU9.csv</t>
  </si>
  <si>
    <t>Big Data</t>
  </si>
  <si>
    <t>CSVU1.csv, CSVU11.csv, CSVU12.csv, CSVU14.csv, CSVU2.csv, CSVU3.csv, CSVU5.csv, CSVU6.csv, CSVU7.csv, CSVU9.csv</t>
  </si>
  <si>
    <t>Operating Systems</t>
  </si>
  <si>
    <t>CSVU1.csv, CSVU10.csv, CSVU12.csv, CSVU13.csv, CSVU14.csv, CSVU15.csv, CSVU16.csv, CSVU3.csv, CSVU4.csv, CSVU6.csv, CSVU8.csv</t>
  </si>
  <si>
    <t>Algorithms</t>
  </si>
  <si>
    <t>CSVU1.csv, CSVU10.csv, CSVU13.csv, CSVU15.csv, CSVU16.csv, CSVU2.csv, CSVU4.csv, CSVU8.csv</t>
  </si>
  <si>
    <t>Linear Algebra</t>
  </si>
  <si>
    <t>CSVU10.csv, CSVU12.csv, CSVU13.csv, CSVU15.csv, CSVU16.csv, CSVU3.csv, CSVU4.csv, CSVU5.csv, CSVU8.csv</t>
  </si>
  <si>
    <t>Regression Analysis</t>
  </si>
  <si>
    <t>CSVU12.csv, CSVU14.csv, CSVU5.csv, CSVU6.csv, CSVU9.csv, CSVU15.csv, CSVU16.csv, CSVU2.csv</t>
  </si>
  <si>
    <t>CSVU1.csv, CSVU10.csv, CSVU12.csv, CSVU16.csv, CSVU3.csv, CSVU4.csv, CSVU5.csv, CSVU6.csv, CSVU7.csv, CSVU9.csv</t>
  </si>
  <si>
    <t>CSVU2.csv, CSVU5.csv, CSVU6.csv, CSVU7.csv, CSVU11.csv, CSVU12.csv, CSVU14.csv</t>
  </si>
  <si>
    <t>Internet of Things (IoT)</t>
  </si>
  <si>
    <t>CSVU1.csv, CSVU11.csv, CSVU13.csv, CSVU14.csv, CSVU15.csv, CSVU16.csv, CSVU3.csv, CSVU6.csv</t>
  </si>
  <si>
    <t>Classification</t>
  </si>
  <si>
    <t>CSVU1.csv, CSVU11.csv, CSVU12.csv, CSVU14.csv, CSVU2.csv, CSVU9.csv</t>
  </si>
  <si>
    <t>CSVU1.csv, CSVU13.csv, CSVU14.csv, CSVU15.csv, CSVU16.csv, CSVU4.csv, CSVU7.csv, CSVU8.csv</t>
  </si>
  <si>
    <t>Computer Networks</t>
  </si>
  <si>
    <t>CSVU1.csv, CSVU10.csv, CSVU13.csv, CSVU3.csv, CSVU4.csv, CSVU8.csv</t>
  </si>
  <si>
    <t>Excel</t>
  </si>
  <si>
    <t>CSVU11.csv, CSVU3.csv, CSVU5.csv, CSVU6.csv, CSVU7.csv, CSVU9.csv</t>
  </si>
  <si>
    <t>Big Data Analytics</t>
  </si>
  <si>
    <t>CSVU10.csv, CSVU13.csv, CSVU15.csv, CSVU16.csv, CSVU4.csv, CSVU8.csv</t>
  </si>
  <si>
    <t>CSVU10.csv, CSVU11.csv, CSVU15.csv, CSVU16.csv, CSVU6.csv, CSVU8.csv</t>
  </si>
  <si>
    <t>Cybersecurity</t>
  </si>
  <si>
    <t>CSVU1.csv, CSVU11.csv, CSVU3.csv, CSVU5.csv, CSVU10.csv, CSVU13.csv, CSVU4.csv</t>
  </si>
  <si>
    <t>Neural Networks</t>
  </si>
  <si>
    <t>CSVU10.csv, CSVU12.csv, CSVU14.csv, CSVU5.csv, CSVU7.csv, CSVU9.csv</t>
  </si>
  <si>
    <t>Clustering</t>
  </si>
  <si>
    <t>CSVU11.csv, CSVU12.csv, CSVU14.csv, CSVU2.csv, CSVU9.csv</t>
  </si>
  <si>
    <t>Data Preprocessing/Wrangling</t>
  </si>
  <si>
    <t>CSVU3.csv, CSVU6.csv, CSVU7.csv, CSVU2.csv</t>
  </si>
  <si>
    <t>Time Series Analysis</t>
  </si>
  <si>
    <t>CSVU15.csv, CSVU16.csv, CSVU6.csv, CSVU8.csv, CSVU9.csv</t>
  </si>
  <si>
    <t>Graph Algorithms</t>
  </si>
  <si>
    <t>CSVU11.csv, CSVU12.csv, CSVU14.csv, CSVU9.csv</t>
  </si>
  <si>
    <t>Object-Oriented Programming</t>
  </si>
  <si>
    <t>CSVU2.csv, CSVU3.csv, CSVU5.csv, CSVU6.csv</t>
  </si>
  <si>
    <t>Reinforcement Learning</t>
  </si>
  <si>
    <t>CSVU10.csv, CSVU13.csv, CSVU14.csv, CSVU4.csv, CSVU8.csv</t>
  </si>
  <si>
    <t>Data Warehousing</t>
  </si>
  <si>
    <t>CSVU1.csv, CSVU11.csv, CSVU7.csv, CSVU9.csv</t>
  </si>
  <si>
    <t>Decision Trees</t>
  </si>
  <si>
    <t>CSVU11.csv, CSVU12.csv, CSVU2.csv</t>
  </si>
  <si>
    <t>Blockchain</t>
  </si>
  <si>
    <t>CSVU15.csv, CSVU16.csv, CSVU3.csv, CSVU8.csv</t>
  </si>
  <si>
    <t>Cloud Platforms (AWS/Azure/GCP)</t>
  </si>
  <si>
    <t>CSVU3.csv, CSVU5.csv, CSVU7.csv</t>
  </si>
  <si>
    <t>Java</t>
  </si>
  <si>
    <t>CSVU11.csv, CSVU14.csv, CSVU5.csv</t>
  </si>
  <si>
    <t>Optimization</t>
  </si>
  <si>
    <t>CSVU12.csv, CSVU14.csv, CSVU2.csv</t>
  </si>
  <si>
    <t>Calculus</t>
  </si>
  <si>
    <t>CSVU1.csv, CSVU4.csv, CSVU9.csv</t>
  </si>
  <si>
    <t>Hadoop</t>
  </si>
  <si>
    <t>CSVU12.csv, CSVU7.csv, CSVU9.csv</t>
  </si>
  <si>
    <t>Discrete Mathematics</t>
  </si>
  <si>
    <t>CSVU1.csv, CSVU10.csv, CSVU4.csv</t>
  </si>
  <si>
    <t>Web Technologies</t>
  </si>
  <si>
    <t>CSVU13.csv, CSVU4.csv, CSVU8.csv</t>
  </si>
  <si>
    <t>Data Science</t>
  </si>
  <si>
    <t>CSVU1.csv, CSVU2.csv</t>
  </si>
  <si>
    <t>Matrix Algebra</t>
  </si>
  <si>
    <t>NoSQL</t>
  </si>
  <si>
    <t>CSVU2.csv, CSVU5.csv</t>
  </si>
  <si>
    <t>Cryptography</t>
  </si>
  <si>
    <t>CSVU1.csv, CSVU13.csv, CSVU15.csv</t>
  </si>
  <si>
    <t>Ethics</t>
  </si>
  <si>
    <t>CSVU14.csv, CSVU9.csv</t>
  </si>
  <si>
    <t>Support Vector Machines</t>
  </si>
  <si>
    <t>CSVU12.csv, CSVU2.csv</t>
  </si>
  <si>
    <t>CSVU10.csv, CSVU4.csv, CSVU8.csv</t>
  </si>
  <si>
    <t>Distributed Computing</t>
  </si>
  <si>
    <t>CSVU5.csv, CSVU7.csv</t>
  </si>
  <si>
    <t>Exploratory Data Analysis</t>
  </si>
  <si>
    <t>Geospatial Information Systems (GIS)</t>
  </si>
  <si>
    <t>CSVU5.csv, CSVU6.csv</t>
  </si>
  <si>
    <t>Business Intelligence</t>
  </si>
  <si>
    <t>CSVU3.csv, CSVU7.csv</t>
  </si>
  <si>
    <t>Computer Graphics</t>
  </si>
  <si>
    <t>CSVU10.csv, CSVU13.csv</t>
  </si>
  <si>
    <t>Robotics</t>
  </si>
  <si>
    <t>CSVU10.csv, CSVU4.csv</t>
  </si>
  <si>
    <t>Bayesian Methods</t>
  </si>
  <si>
    <t>CSVU11.csv</t>
  </si>
  <si>
    <t>Ensemble Learning</t>
  </si>
  <si>
    <t>CSVU14.csv</t>
  </si>
  <si>
    <t>Graph Theory</t>
  </si>
  <si>
    <t>CSVU1.csv</t>
  </si>
  <si>
    <t>MapReduce</t>
  </si>
  <si>
    <t>CSVU2.csv</t>
  </si>
  <si>
    <t>Web Development</t>
  </si>
  <si>
    <t>Bioinformatics</t>
  </si>
  <si>
    <t>CSVU15.csv</t>
  </si>
  <si>
    <t>Convolutional Neural Networks</t>
  </si>
  <si>
    <t>CSVU12.csv</t>
  </si>
  <si>
    <t>Data Engineering</t>
  </si>
  <si>
    <t>CSVU7.csv</t>
  </si>
  <si>
    <t>HTML</t>
  </si>
  <si>
    <t>CSVU6.csv</t>
  </si>
  <si>
    <t>Information Security</t>
  </si>
  <si>
    <t>CSVU8.csv</t>
  </si>
  <si>
    <t>PHP</t>
  </si>
  <si>
    <t>CSVU13.csv</t>
  </si>
  <si>
    <t>CSVU3.csv</t>
  </si>
  <si>
    <t>Text Mining</t>
  </si>
  <si>
    <t>C++</t>
  </si>
  <si>
    <t>CSVU9.csv</t>
  </si>
  <si>
    <t>Digital Image Processing</t>
  </si>
  <si>
    <t>Fuzzy Logic</t>
  </si>
  <si>
    <t>Soft Computing</t>
  </si>
  <si>
    <t>Speech Processing</t>
  </si>
  <si>
    <t>Biometric Systems</t>
  </si>
  <si>
    <t>CSVU16.csv</t>
  </si>
  <si>
    <t>Operations Research</t>
  </si>
  <si>
    <t>Social Network Analysis</t>
  </si>
  <si>
    <t>Analysis 1</t>
  </si>
  <si>
    <t>SKILL FREQUENCY ANALYSIS</t>
  </si>
  <si>
    <t>INDUSTRY SKILL FREQUENCY</t>
  </si>
  <si>
    <t>CURRICULUM SKILL FREQUENCY</t>
  </si>
  <si>
    <t>Rank</t>
  </si>
  <si>
    <t xml:space="preserve">Skill </t>
  </si>
  <si>
    <t xml:space="preserve">Added Frequency </t>
  </si>
  <si>
    <t>Skill Prevalence</t>
  </si>
  <si>
    <t xml:space="preserve">Rank </t>
  </si>
  <si>
    <t>Metric</t>
  </si>
  <si>
    <t>Industry</t>
  </si>
  <si>
    <t>Curriculum</t>
  </si>
  <si>
    <t xml:space="preserve">Total Skills </t>
  </si>
  <si>
    <t>Total Documents</t>
  </si>
  <si>
    <t>Highest Frequency</t>
  </si>
  <si>
    <t>Highest Prevalence</t>
  </si>
  <si>
    <t>Analysis 2</t>
  </si>
  <si>
    <t>CATEGORY FREQUENCY ANALYSIS</t>
  </si>
  <si>
    <t>Industry Category Analysis</t>
  </si>
  <si>
    <t>Curriculum Category Analysis</t>
  </si>
  <si>
    <t>Category Frequency</t>
  </si>
  <si>
    <t>Category Contribution (%)</t>
  </si>
  <si>
    <t>Total</t>
  </si>
  <si>
    <t>Total Categories</t>
  </si>
  <si>
    <t>Total Category Frequency</t>
  </si>
  <si>
    <t>Highest Category Frequency</t>
  </si>
  <si>
    <t>Highest Contribution (%)</t>
  </si>
  <si>
    <t>Standardized Skill</t>
  </si>
  <si>
    <t>Industry Skill</t>
  </si>
  <si>
    <t>Industry Added Frequency</t>
  </si>
  <si>
    <t>Industry Prevalence</t>
  </si>
  <si>
    <t>Curriculum Skill</t>
  </si>
  <si>
    <t>Curriculum Added Frequency</t>
  </si>
  <si>
    <t>Curriculum Prevalence</t>
  </si>
  <si>
    <t>Match Status</t>
  </si>
  <si>
    <t>Matching Basis</t>
  </si>
  <si>
    <t>Industry Category</t>
  </si>
  <si>
    <t>Curriculum Category</t>
  </si>
  <si>
    <t>Covered</t>
  </si>
  <si>
    <t>Exact</t>
  </si>
  <si>
    <t>Industry Only</t>
  </si>
  <si>
    <t>No Match</t>
  </si>
  <si>
    <t>Partially Covered</t>
  </si>
  <si>
    <t>Conceptual</t>
  </si>
  <si>
    <t>Normalized</t>
  </si>
  <si>
    <t>Curriculum Only</t>
  </si>
  <si>
    <t>Analysis 3</t>
  </si>
  <si>
    <t>Alignment Analysis</t>
  </si>
  <si>
    <t xml:space="preserve">Industry Prevalence </t>
  </si>
  <si>
    <t>Alignment</t>
  </si>
  <si>
    <t>Percentage-Point Difference (pp)</t>
  </si>
  <si>
    <t>ANALYSIS 3 SUMMARY</t>
  </si>
  <si>
    <t>Number of Skills Analyzed</t>
  </si>
  <si>
    <t>Overall Alignment Score</t>
  </si>
  <si>
    <t>Highest Alignment Skill</t>
  </si>
  <si>
    <t>Highest Alignment Value</t>
  </si>
  <si>
    <t>Lowest Alignment Skill</t>
  </si>
  <si>
    <t>Lowest Alignment Value</t>
  </si>
  <si>
    <t>Largest Industry Advantage</t>
  </si>
  <si>
    <t>Largest Industry Advantage Value</t>
  </si>
  <si>
    <t>Largest Curriculum Advantage</t>
  </si>
  <si>
    <t>Largest Curriculum Advantage Value</t>
  </si>
  <si>
    <t>Top 10 Alignment Skills</t>
  </si>
  <si>
    <t>Analysis 4</t>
  </si>
  <si>
    <t>Skill Gap Analysis</t>
  </si>
  <si>
    <t>Skill Gap</t>
  </si>
  <si>
    <t>Absolute Gap</t>
  </si>
  <si>
    <t>Gap Direction</t>
  </si>
  <si>
    <t xml:space="preserve">Analysis 4 Summary </t>
  </si>
  <si>
    <t>Result</t>
  </si>
  <si>
    <t>Value</t>
  </si>
  <si>
    <t>Largest Industry Gap</t>
  </si>
  <si>
    <t>Largest Curriculum Gap</t>
  </si>
  <si>
    <t>Largest Absolute Gap</t>
  </si>
  <si>
    <t>Analysis 5</t>
  </si>
  <si>
    <t>Curriculum Coverage Analysis</t>
  </si>
  <si>
    <t>Coverage Status</t>
  </si>
  <si>
    <t>Priority Tier</t>
  </si>
  <si>
    <t>Industry Frequency</t>
  </si>
  <si>
    <t>Strict Coverage</t>
  </si>
  <si>
    <t>Braod Coverage</t>
  </si>
  <si>
    <t>Overall Curriculum Coverage</t>
  </si>
  <si>
    <t>Number of Skills</t>
  </si>
  <si>
    <t>Total Industry Skills</t>
  </si>
  <si>
    <t>Covered Skills</t>
  </si>
  <si>
    <t>Partially Covered Skills</t>
  </si>
  <si>
    <t>Strict CCR</t>
  </si>
  <si>
    <t>Broad CCR</t>
  </si>
  <si>
    <t>Industry Skill Rate</t>
  </si>
  <si>
    <t>Covered Skill Rate</t>
  </si>
  <si>
    <t>Partial Coverage Rate</t>
  </si>
  <si>
    <t>Total Skills</t>
  </si>
  <si>
    <t>Coverage %</t>
  </si>
  <si>
    <t>Tier 1</t>
  </si>
  <si>
    <t>Tier 2</t>
  </si>
  <si>
    <t>Tier 3</t>
  </si>
  <si>
    <t>Tier 4</t>
  </si>
  <si>
    <t>Strict Coverage %</t>
  </si>
  <si>
    <t>Broad Coverage %</t>
  </si>
  <si>
    <t>Analysis 6</t>
  </si>
  <si>
    <t>Emerging Technology Alignment Analysis</t>
  </si>
  <si>
    <t xml:space="preserve">S.No   </t>
  </si>
  <si>
    <t>Emerging Technology</t>
  </si>
  <si>
    <t xml:space="preserve">Industry Frequency </t>
  </si>
  <si>
    <t>Industry %</t>
  </si>
  <si>
    <t>Curriculum Presence</t>
  </si>
  <si>
    <t>Technology Category</t>
  </si>
  <si>
    <t>Industry Skillset Label</t>
  </si>
  <si>
    <t>Curriculum Skillset Label</t>
  </si>
  <si>
    <t>Category</t>
  </si>
  <si>
    <t>Foundation Models</t>
  </si>
  <si>
    <t>AI Engineering Tools</t>
  </si>
  <si>
    <t>Retrieval-Augmented Generation (RAG)</t>
  </si>
  <si>
    <t>AI Agents</t>
  </si>
  <si>
    <t>AI Development Frameworks</t>
  </si>
  <si>
    <t>LangChain / LangGraph / LlamaIndex (LLM Orchestration)</t>
  </si>
  <si>
    <t>Vector Databases</t>
  </si>
  <si>
    <t>Model Deployment &amp; MLOps</t>
  </si>
  <si>
    <t>Hugging Face / Transformers</t>
  </si>
  <si>
    <t>Cloud AI Platforms</t>
  </si>
  <si>
    <t>Analysis 7 Metrics</t>
  </si>
  <si>
    <t>Total Emerging Technologies</t>
  </si>
  <si>
    <t>Covered Technologies</t>
  </si>
  <si>
    <t>Partially Covered Technologies</t>
  </si>
  <si>
    <t>Industry Only Technologies</t>
  </si>
  <si>
    <t>ETAR</t>
  </si>
  <si>
    <t>Broad ETAR</t>
  </si>
  <si>
    <t>Total Technologies</t>
  </si>
  <si>
    <t>Strict Alignment %</t>
  </si>
  <si>
    <t>Broad Alignment %</t>
  </si>
  <si>
    <t>Analysis 7</t>
  </si>
  <si>
    <t>Industry–Curriculum Rank Difference Analysis</t>
  </si>
  <si>
    <t>Industry Rank</t>
  </si>
  <si>
    <t>Curriculum Rank</t>
  </si>
  <si>
    <t>Rank Difference</t>
  </si>
  <si>
    <t>Absolute Rank Difference</t>
  </si>
  <si>
    <t>Rank Direction</t>
  </si>
  <si>
    <t>Matched Skills</t>
  </si>
  <si>
    <t>Industry Only Skills</t>
  </si>
  <si>
    <t>Average Absolute Rank Difference</t>
  </si>
  <si>
    <t>Maximum Absolute Rank Difference</t>
  </si>
  <si>
    <t>Curriculum Lags</t>
  </si>
  <si>
    <t>Curriculum Leads</t>
  </si>
  <si>
    <t>Aligned</t>
  </si>
  <si>
    <t>Aligned Skills</t>
  </si>
  <si>
    <t>% Curriculum Lags</t>
  </si>
  <si>
    <t>% Curriculum Leads</t>
  </si>
  <si>
    <t>% Aligned</t>
  </si>
  <si>
    <t>% Industry Only</t>
  </si>
  <si>
    <t>Analysis 8</t>
  </si>
  <si>
    <t>Chi Square Test</t>
  </si>
  <si>
    <t>Row Total</t>
  </si>
  <si>
    <t>Chi-square Statistic</t>
  </si>
  <si>
    <t>Degrees of Freedom</t>
  </si>
  <si>
    <t>P-value</t>
  </si>
  <si>
    <t>Cramer's V</t>
  </si>
  <si>
    <t>Expected Cells Below 5</t>
  </si>
  <si>
    <t>% Expected Cells Below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</si>
</sst>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&quot;%&quot;"/>
    <numFmt numFmtId="166" formatCode="0.000"/>
  </numFmts>
  <fonts count="10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3" fillId="0" borderId="0" xfId="0" applyFont="1"/>
    <xf numFmtId="0" fontId="5" fillId="0" borderId="0" xfId="0" applyFont="1"/>
    <xf numFmtId="10" fontId="0" fillId="0" borderId="0" xfId="0" applyNumberFormat="1"/>
    <xf numFmtId="0" fontId="0" fillId="0" borderId="0" xfId="0" quotePrefix="1"/>
    <xf numFmtId="10" fontId="0" fillId="0" borderId="0" xfId="0" quotePrefix="1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/>
    <xf numFmtId="10" fontId="0" fillId="0" borderId="0" xfId="0" applyNumberFormat="1" applyAlignment="1"/>
    <xf numFmtId="0" fontId="3" fillId="0" borderId="0" xfId="0" applyFont="1" applyAlignment="1"/>
    <xf numFmtId="0" fontId="0" fillId="0" borderId="0" xfId="0" applyAlignment="1"/>
    <xf numFmtId="10" fontId="4" fillId="0" borderId="0" xfId="0" applyNumberFormat="1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Font="1"/>
    <xf numFmtId="2" fontId="0" fillId="0" borderId="0" xfId="0" applyNumberFormat="1" applyAlignment="1">
      <alignment horizontal="center" wrapText="1"/>
    </xf>
    <xf numFmtId="10" fontId="0" fillId="0" borderId="0" xfId="0" applyNumberFormat="1" applyAlignment="1">
      <alignment horizont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/>
    <xf numFmtId="165" fontId="9" fillId="0" borderId="2" xfId="0" applyNumberFormat="1" applyFont="1" applyBorder="1"/>
    <xf numFmtId="0" fontId="9" fillId="3" borderId="2" xfId="0" applyFont="1" applyFill="1" applyBorder="1"/>
    <xf numFmtId="0" fontId="9" fillId="4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2" xfId="0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0" fontId="3" fillId="0" borderId="0" xfId="0" applyNumberFormat="1" applyFont="1"/>
    <xf numFmtId="0" fontId="0" fillId="0" borderId="0" xfId="0" applyNumberFormat="1"/>
    <xf numFmtId="166" fontId="0" fillId="0" borderId="0" xfId="0" applyNumberFormat="1"/>
    <xf numFmtId="0" fontId="3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Most Frequent Industry Skills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Added Frequency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'Skill Frequency Analysis'!$B$7:$B$16</c:f>
              <c:strCache>
                <c:ptCount val="10"/>
                <c:pt idx="0">
                  <c:v>Python</c:v>
                </c:pt>
                <c:pt idx="1">
                  <c:v>Communication &amp; Collaboration</c:v>
                </c:pt>
                <c:pt idx="2">
                  <c:v>Machine Learning</c:v>
                </c:pt>
                <c:pt idx="3">
                  <c:v>Analytical Thinking &amp; Problem Solving</c:v>
                </c:pt>
                <c:pt idx="4">
                  <c:v>SQL</c:v>
                </c:pt>
                <c:pt idx="5">
                  <c:v>Cloud Platforms (AWS / Azure / GCP)</c:v>
                </c:pt>
                <c:pt idx="6">
                  <c:v>Scikit-learn / NumPy / Pandas</c:v>
                </c:pt>
                <c:pt idx="7">
                  <c:v>Statistical Analysis</c:v>
                </c:pt>
                <c:pt idx="8">
                  <c:v>Large Language Models (LLMs)</c:v>
                </c:pt>
                <c:pt idx="9">
                  <c:v>Generative AI</c:v>
                </c:pt>
              </c:strCache>
            </c:strRef>
          </c:cat>
          <c:val>
            <c:numRef>
              <c:f>'Skill Frequency Analysis'!$C$7:$C$16</c:f>
              <c:numCache>
                <c:formatCode>General</c:formatCode>
                <c:ptCount val="10"/>
                <c:pt idx="0">
                  <c:v>117</c:v>
                </c:pt>
                <c:pt idx="1">
                  <c:v>110</c:v>
                </c:pt>
                <c:pt idx="2">
                  <c:v>107</c:v>
                </c:pt>
                <c:pt idx="3">
                  <c:v>100</c:v>
                </c:pt>
                <c:pt idx="4">
                  <c:v>69</c:v>
                </c:pt>
                <c:pt idx="5">
                  <c:v>63</c:v>
                </c:pt>
                <c:pt idx="6">
                  <c:v>62</c:v>
                </c:pt>
                <c:pt idx="7">
                  <c:v>62</c:v>
                </c:pt>
                <c:pt idx="8">
                  <c:v>48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6-4ABA-B029-3D227F0039E3}"/>
            </c:ext>
          </c:extLst>
        </c:ser>
        <c:ser>
          <c:idx val="1"/>
          <c:order val="1"/>
          <c:tx>
            <c:v/>
          </c:tx>
          <c:spPr>
            <a:noFill/>
            <a:ln>
              <a:noFill/>
            </a:ln>
            <a:effectLst/>
          </c:spPr>
          <c:invertIfNegative val="0"/>
          <c:cat>
            <c:strRef>
              <c:f>'Skill Frequency Analysis'!$B$7:$B$16</c:f>
              <c:strCache>
                <c:ptCount val="10"/>
                <c:pt idx="0">
                  <c:v>Python</c:v>
                </c:pt>
                <c:pt idx="1">
                  <c:v>Communication &amp; Collaboration</c:v>
                </c:pt>
                <c:pt idx="2">
                  <c:v>Machine Learning</c:v>
                </c:pt>
                <c:pt idx="3">
                  <c:v>Analytical Thinking &amp; Problem Solving</c:v>
                </c:pt>
                <c:pt idx="4">
                  <c:v>SQL</c:v>
                </c:pt>
                <c:pt idx="5">
                  <c:v>Cloud Platforms (AWS / Azure / GCP)</c:v>
                </c:pt>
                <c:pt idx="6">
                  <c:v>Scikit-learn / NumPy / Pandas</c:v>
                </c:pt>
                <c:pt idx="7">
                  <c:v>Statistical Analysis</c:v>
                </c:pt>
                <c:pt idx="8">
                  <c:v>Large Language Models (LLMs)</c:v>
                </c:pt>
                <c:pt idx="9">
                  <c:v>Generative AI</c:v>
                </c:pt>
              </c:strCache>
            </c:strRef>
          </c:cat>
          <c:val>
            <c:numRef>
              <c:f>'Skill Frequency Analysis'!$D$7:$D$16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09D6-4ABA-B029-3D227F003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6350087"/>
        <c:axId val="2069582343"/>
      </c:barChart>
      <c:catAx>
        <c:axId val="2106350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82343"/>
        <c:crosses val="autoZero"/>
        <c:auto val="1"/>
        <c:lblAlgn val="ctr"/>
        <c:lblOffset val="100"/>
        <c:noMultiLvlLbl val="0"/>
      </c:catAx>
      <c:valAx>
        <c:axId val="2069582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350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Most Frequent Curriculum Skills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'Skill Frequency Analysis'!$K$7:$K$16</c:f>
              <c:strCache>
                <c:ptCount val="10"/>
                <c:pt idx="0">
                  <c:v>Statistics</c:v>
                </c:pt>
                <c:pt idx="1">
                  <c:v>Python</c:v>
                </c:pt>
                <c:pt idx="2">
                  <c:v>Machine Learning</c:v>
                </c:pt>
                <c:pt idx="3">
                  <c:v>Data Structures</c:v>
                </c:pt>
                <c:pt idx="4">
                  <c:v>Deep Learning</c:v>
                </c:pt>
                <c:pt idx="5">
                  <c:v>Data Mining</c:v>
                </c:pt>
                <c:pt idx="6">
                  <c:v>Artificial Intelligence</c:v>
                </c:pt>
                <c:pt idx="7">
                  <c:v>Probability</c:v>
                </c:pt>
                <c:pt idx="8">
                  <c:v>Natural Language Processing</c:v>
                </c:pt>
                <c:pt idx="9">
                  <c:v>Data Analytics</c:v>
                </c:pt>
              </c:strCache>
            </c:strRef>
          </c:cat>
          <c:val>
            <c:numRef>
              <c:f>'Skill Frequency Analysis'!$L$7:$L$16</c:f>
              <c:numCache>
                <c:formatCode>General</c:formatCode>
                <c:ptCount val="10"/>
                <c:pt idx="0">
                  <c:v>80</c:v>
                </c:pt>
                <c:pt idx="1">
                  <c:v>79</c:v>
                </c:pt>
                <c:pt idx="2">
                  <c:v>75</c:v>
                </c:pt>
                <c:pt idx="3">
                  <c:v>72</c:v>
                </c:pt>
                <c:pt idx="4">
                  <c:v>63</c:v>
                </c:pt>
                <c:pt idx="5">
                  <c:v>61</c:v>
                </c:pt>
                <c:pt idx="6">
                  <c:v>61</c:v>
                </c:pt>
                <c:pt idx="7">
                  <c:v>61</c:v>
                </c:pt>
                <c:pt idx="8">
                  <c:v>56</c:v>
                </c:pt>
                <c:pt idx="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9-4F75-A086-109058F5DD8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'Skill Frequency Analysis'!$K$7:$K$16</c:f>
              <c:strCache>
                <c:ptCount val="10"/>
                <c:pt idx="0">
                  <c:v>Statistics</c:v>
                </c:pt>
                <c:pt idx="1">
                  <c:v>Python</c:v>
                </c:pt>
                <c:pt idx="2">
                  <c:v>Machine Learning</c:v>
                </c:pt>
                <c:pt idx="3">
                  <c:v>Data Structures</c:v>
                </c:pt>
                <c:pt idx="4">
                  <c:v>Deep Learning</c:v>
                </c:pt>
                <c:pt idx="5">
                  <c:v>Data Mining</c:v>
                </c:pt>
                <c:pt idx="6">
                  <c:v>Artificial Intelligence</c:v>
                </c:pt>
                <c:pt idx="7">
                  <c:v>Probability</c:v>
                </c:pt>
                <c:pt idx="8">
                  <c:v>Natural Language Processing</c:v>
                </c:pt>
                <c:pt idx="9">
                  <c:v>Data Analytics</c:v>
                </c:pt>
              </c:strCache>
            </c:strRef>
          </c:cat>
          <c:val>
            <c:numRef>
              <c:f>'Skill Frequency Analysis'!$M$7:$M$16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A709-4F75-A086-109058F5D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13544"/>
        <c:axId val="1911096839"/>
      </c:barChart>
      <c:catAx>
        <c:axId val="691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096839"/>
        <c:crosses val="autoZero"/>
        <c:auto val="1"/>
        <c:lblAlgn val="ctr"/>
        <c:lblOffset val="100"/>
        <c:noMultiLvlLbl val="0"/>
      </c:catAx>
      <c:valAx>
        <c:axId val="1911096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Industry Category Contribution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Frequency Analysis '!$B$7:$B$20</c:f>
              <c:strCache>
                <c:ptCount val="14"/>
                <c:pt idx="0">
                  <c:v>Generative AI &amp; NLP</c:v>
                </c:pt>
                <c:pt idx="1">
                  <c:v>Professional &amp; Soft Skills</c:v>
                </c:pt>
                <c:pt idx="2">
                  <c:v>Machine Learning</c:v>
                </c:pt>
                <c:pt idx="3">
                  <c:v>Data Analysis &amp; Statistics</c:v>
                </c:pt>
                <c:pt idx="4">
                  <c:v>Programming Languages</c:v>
                </c:pt>
                <c:pt idx="5">
                  <c:v>Cloud &amp; MLOps</c:v>
                </c:pt>
                <c:pt idx="6">
                  <c:v>Deep Learning</c:v>
                </c:pt>
                <c:pt idx="7">
                  <c:v>Databases &amp; SQL</c:v>
                </c:pt>
                <c:pt idx="8">
                  <c:v>Data Visualization &amp; BI</c:v>
                </c:pt>
                <c:pt idx="9">
                  <c:v>Data Engineering &amp; Big Data</c:v>
                </c:pt>
                <c:pt idx="10">
                  <c:v>Software Engineering</c:v>
                </c:pt>
                <c:pt idx="11">
                  <c:v>Domain Applications</c:v>
                </c:pt>
                <c:pt idx="12">
                  <c:v>Artificial Intelligence</c:v>
                </c:pt>
                <c:pt idx="13">
                  <c:v>Computer Vision</c:v>
                </c:pt>
              </c:strCache>
            </c:strRef>
          </c:cat>
          <c:val>
            <c:numRef>
              <c:f>'Category Frequency Analysis '!$C$7:$C$20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0-9635-4B98-8A42-A99123B5F61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Frequency Analysis '!$B$7:$B$20</c:f>
              <c:strCache>
                <c:ptCount val="14"/>
                <c:pt idx="0">
                  <c:v>Generative AI &amp; NLP</c:v>
                </c:pt>
                <c:pt idx="1">
                  <c:v>Professional &amp; Soft Skills</c:v>
                </c:pt>
                <c:pt idx="2">
                  <c:v>Machine Learning</c:v>
                </c:pt>
                <c:pt idx="3">
                  <c:v>Data Analysis &amp; Statistics</c:v>
                </c:pt>
                <c:pt idx="4">
                  <c:v>Programming Languages</c:v>
                </c:pt>
                <c:pt idx="5">
                  <c:v>Cloud &amp; MLOps</c:v>
                </c:pt>
                <c:pt idx="6">
                  <c:v>Deep Learning</c:v>
                </c:pt>
                <c:pt idx="7">
                  <c:v>Databases &amp; SQL</c:v>
                </c:pt>
                <c:pt idx="8">
                  <c:v>Data Visualization &amp; BI</c:v>
                </c:pt>
                <c:pt idx="9">
                  <c:v>Data Engineering &amp; Big Data</c:v>
                </c:pt>
                <c:pt idx="10">
                  <c:v>Software Engineering</c:v>
                </c:pt>
                <c:pt idx="11">
                  <c:v>Domain Applications</c:v>
                </c:pt>
                <c:pt idx="12">
                  <c:v>Artificial Intelligence</c:v>
                </c:pt>
                <c:pt idx="13">
                  <c:v>Computer Vision</c:v>
                </c:pt>
              </c:strCache>
            </c:strRef>
          </c:cat>
          <c:val>
            <c:numRef>
              <c:f>'Category Frequency Analysis '!$D$7:$D$20</c:f>
              <c:numCache>
                <c:formatCode>General</c:formatCode>
                <c:ptCount val="14"/>
                <c:pt idx="0">
                  <c:v>222</c:v>
                </c:pt>
                <c:pt idx="1">
                  <c:v>220</c:v>
                </c:pt>
                <c:pt idx="2">
                  <c:v>227</c:v>
                </c:pt>
                <c:pt idx="3">
                  <c:v>152</c:v>
                </c:pt>
                <c:pt idx="4">
                  <c:v>129</c:v>
                </c:pt>
                <c:pt idx="5">
                  <c:v>132</c:v>
                </c:pt>
                <c:pt idx="6">
                  <c:v>124</c:v>
                </c:pt>
                <c:pt idx="7">
                  <c:v>75</c:v>
                </c:pt>
                <c:pt idx="8">
                  <c:v>57</c:v>
                </c:pt>
                <c:pt idx="9">
                  <c:v>35</c:v>
                </c:pt>
                <c:pt idx="10">
                  <c:v>26</c:v>
                </c:pt>
                <c:pt idx="11">
                  <c:v>11</c:v>
                </c:pt>
                <c:pt idx="12">
                  <c:v>5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35-4B98-8A42-A99123B5F61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Frequency Analysis '!$B$7:$B$20</c:f>
              <c:strCache>
                <c:ptCount val="14"/>
                <c:pt idx="0">
                  <c:v>Generative AI &amp; NLP</c:v>
                </c:pt>
                <c:pt idx="1">
                  <c:v>Professional &amp; Soft Skills</c:v>
                </c:pt>
                <c:pt idx="2">
                  <c:v>Machine Learning</c:v>
                </c:pt>
                <c:pt idx="3">
                  <c:v>Data Analysis &amp; Statistics</c:v>
                </c:pt>
                <c:pt idx="4">
                  <c:v>Programming Languages</c:v>
                </c:pt>
                <c:pt idx="5">
                  <c:v>Cloud &amp; MLOps</c:v>
                </c:pt>
                <c:pt idx="6">
                  <c:v>Deep Learning</c:v>
                </c:pt>
                <c:pt idx="7">
                  <c:v>Databases &amp; SQL</c:v>
                </c:pt>
                <c:pt idx="8">
                  <c:v>Data Visualization &amp; BI</c:v>
                </c:pt>
                <c:pt idx="9">
                  <c:v>Data Engineering &amp; Big Data</c:v>
                </c:pt>
                <c:pt idx="10">
                  <c:v>Software Engineering</c:v>
                </c:pt>
                <c:pt idx="11">
                  <c:v>Domain Applications</c:v>
                </c:pt>
                <c:pt idx="12">
                  <c:v>Artificial Intelligence</c:v>
                </c:pt>
                <c:pt idx="13">
                  <c:v>Computer Vision</c:v>
                </c:pt>
              </c:strCache>
            </c:strRef>
          </c:cat>
          <c:val>
            <c:numRef>
              <c:f>'Category Frequency Analysis '!$E$7:$E$20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4-9635-4B98-8A42-A99123B5F61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Frequency Analysis '!$B$7:$B$20</c:f>
              <c:strCache>
                <c:ptCount val="14"/>
                <c:pt idx="0">
                  <c:v>Generative AI &amp; NLP</c:v>
                </c:pt>
                <c:pt idx="1">
                  <c:v>Professional &amp; Soft Skills</c:v>
                </c:pt>
                <c:pt idx="2">
                  <c:v>Machine Learning</c:v>
                </c:pt>
                <c:pt idx="3">
                  <c:v>Data Analysis &amp; Statistics</c:v>
                </c:pt>
                <c:pt idx="4">
                  <c:v>Programming Languages</c:v>
                </c:pt>
                <c:pt idx="5">
                  <c:v>Cloud &amp; MLOps</c:v>
                </c:pt>
                <c:pt idx="6">
                  <c:v>Deep Learning</c:v>
                </c:pt>
                <c:pt idx="7">
                  <c:v>Databases &amp; SQL</c:v>
                </c:pt>
                <c:pt idx="8">
                  <c:v>Data Visualization &amp; BI</c:v>
                </c:pt>
                <c:pt idx="9">
                  <c:v>Data Engineering &amp; Big Data</c:v>
                </c:pt>
                <c:pt idx="10">
                  <c:v>Software Engineering</c:v>
                </c:pt>
                <c:pt idx="11">
                  <c:v>Domain Applications</c:v>
                </c:pt>
                <c:pt idx="12">
                  <c:v>Artificial Intelligence</c:v>
                </c:pt>
                <c:pt idx="13">
                  <c:v>Computer Vision</c:v>
                </c:pt>
              </c:strCache>
            </c:strRef>
          </c:cat>
          <c:val>
            <c:numRef>
              <c:f>'Category Frequency Analysis '!$F$7:$F$20</c:f>
              <c:numCache>
                <c:formatCode>0.00%</c:formatCode>
                <c:ptCount val="14"/>
                <c:pt idx="0">
                  <c:v>0.15644820295983086</c:v>
                </c:pt>
                <c:pt idx="1">
                  <c:v>0.15503875968992248</c:v>
                </c:pt>
                <c:pt idx="2">
                  <c:v>0.15997181113460182</c:v>
                </c:pt>
                <c:pt idx="3">
                  <c:v>0.10711768851303735</c:v>
                </c:pt>
                <c:pt idx="4">
                  <c:v>9.0909090909090912E-2</c:v>
                </c:pt>
                <c:pt idx="5">
                  <c:v>9.3023255813953487E-2</c:v>
                </c:pt>
                <c:pt idx="6">
                  <c:v>8.7385482734319939E-2</c:v>
                </c:pt>
                <c:pt idx="7">
                  <c:v>5.2854122621564484E-2</c:v>
                </c:pt>
                <c:pt idx="8">
                  <c:v>4.0169133192389003E-2</c:v>
                </c:pt>
                <c:pt idx="9">
                  <c:v>2.4665257223396759E-2</c:v>
                </c:pt>
                <c:pt idx="10">
                  <c:v>1.8322762508809022E-2</c:v>
                </c:pt>
                <c:pt idx="11">
                  <c:v>7.7519379844961239E-3</c:v>
                </c:pt>
                <c:pt idx="12">
                  <c:v>3.5236081747709656E-3</c:v>
                </c:pt>
                <c:pt idx="13">
                  <c:v>2.8188865398167725E-3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35-4B98-8A42-A99123B5F61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Frequency Analysis '!$B$7:$B$20</c:f>
              <c:strCache>
                <c:ptCount val="14"/>
                <c:pt idx="0">
                  <c:v>Generative AI &amp; NLP</c:v>
                </c:pt>
                <c:pt idx="1">
                  <c:v>Professional &amp; Soft Skills</c:v>
                </c:pt>
                <c:pt idx="2">
                  <c:v>Machine Learning</c:v>
                </c:pt>
                <c:pt idx="3">
                  <c:v>Data Analysis &amp; Statistics</c:v>
                </c:pt>
                <c:pt idx="4">
                  <c:v>Programming Languages</c:v>
                </c:pt>
                <c:pt idx="5">
                  <c:v>Cloud &amp; MLOps</c:v>
                </c:pt>
                <c:pt idx="6">
                  <c:v>Deep Learning</c:v>
                </c:pt>
                <c:pt idx="7">
                  <c:v>Databases &amp; SQL</c:v>
                </c:pt>
                <c:pt idx="8">
                  <c:v>Data Visualization &amp; BI</c:v>
                </c:pt>
                <c:pt idx="9">
                  <c:v>Data Engineering &amp; Big Data</c:v>
                </c:pt>
                <c:pt idx="10">
                  <c:v>Software Engineering</c:v>
                </c:pt>
                <c:pt idx="11">
                  <c:v>Domain Applications</c:v>
                </c:pt>
                <c:pt idx="12">
                  <c:v>Artificial Intelligence</c:v>
                </c:pt>
                <c:pt idx="13">
                  <c:v>Computer Vision</c:v>
                </c:pt>
              </c:strCache>
            </c:strRef>
          </c:cat>
          <c:val>
            <c:numRef>
              <c:f>'Category Frequency Analysis '!$G$7:$G$20</c:f>
              <c:numCache>
                <c:formatCode>0.00%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8-9635-4B98-8A42-A99123B5F61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'Category Frequency Analysis '!$B$7:$B$20</c:f>
              <c:strCache>
                <c:ptCount val="14"/>
                <c:pt idx="0">
                  <c:v>Generative AI &amp; NLP</c:v>
                </c:pt>
                <c:pt idx="1">
                  <c:v>Professional &amp; Soft Skills</c:v>
                </c:pt>
                <c:pt idx="2">
                  <c:v>Machine Learning</c:v>
                </c:pt>
                <c:pt idx="3">
                  <c:v>Data Analysis &amp; Statistics</c:v>
                </c:pt>
                <c:pt idx="4">
                  <c:v>Programming Languages</c:v>
                </c:pt>
                <c:pt idx="5">
                  <c:v>Cloud &amp; MLOps</c:v>
                </c:pt>
                <c:pt idx="6">
                  <c:v>Deep Learning</c:v>
                </c:pt>
                <c:pt idx="7">
                  <c:v>Databases &amp; SQL</c:v>
                </c:pt>
                <c:pt idx="8">
                  <c:v>Data Visualization &amp; BI</c:v>
                </c:pt>
                <c:pt idx="9">
                  <c:v>Data Engineering &amp; Big Data</c:v>
                </c:pt>
                <c:pt idx="10">
                  <c:v>Software Engineering</c:v>
                </c:pt>
                <c:pt idx="11">
                  <c:v>Domain Applications</c:v>
                </c:pt>
                <c:pt idx="12">
                  <c:v>Artificial Intelligence</c:v>
                </c:pt>
                <c:pt idx="13">
                  <c:v>Computer Vision</c:v>
                </c:pt>
              </c:strCache>
            </c:strRef>
          </c:cat>
          <c:val>
            <c:numRef>
              <c:f>'Category Frequency Analysis '!$H$7:$H$20</c:f>
              <c:numCache>
                <c:formatCode>0.00%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A-9635-4B98-8A42-A99123B5F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75970568"/>
        <c:axId val="1075972616"/>
      </c:barChart>
      <c:catAx>
        <c:axId val="1075970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972616"/>
        <c:crosses val="autoZero"/>
        <c:auto val="1"/>
        <c:lblAlgn val="ctr"/>
        <c:lblOffset val="100"/>
        <c:noMultiLvlLbl val="0"/>
      </c:catAx>
      <c:valAx>
        <c:axId val="1075972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970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Curriculum Category Contribution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Frequency Analysis '!$N$7:$N$20</c:f>
              <c:strCache>
                <c:ptCount val="14"/>
                <c:pt idx="0">
                  <c:v>Data Analysis &amp; Statistics</c:v>
                </c:pt>
                <c:pt idx="1">
                  <c:v>Software Engineering</c:v>
                </c:pt>
                <c:pt idx="2">
                  <c:v>Machine Learning</c:v>
                </c:pt>
                <c:pt idx="3">
                  <c:v>Programming Languages</c:v>
                </c:pt>
                <c:pt idx="4">
                  <c:v>Data Engineering &amp; Big Data</c:v>
                </c:pt>
                <c:pt idx="5">
                  <c:v>Databases &amp; SQL</c:v>
                </c:pt>
                <c:pt idx="6">
                  <c:v>Deep Learning</c:v>
                </c:pt>
                <c:pt idx="7">
                  <c:v>Artificial Intelligence</c:v>
                </c:pt>
                <c:pt idx="8">
                  <c:v>Generative AI &amp; NLP</c:v>
                </c:pt>
                <c:pt idx="9">
                  <c:v>Data Visualization &amp; BI</c:v>
                </c:pt>
                <c:pt idx="10">
                  <c:v>Cloud &amp; MLOps</c:v>
                </c:pt>
                <c:pt idx="11">
                  <c:v>Domain Applications</c:v>
                </c:pt>
                <c:pt idx="12">
                  <c:v>Computer Vision</c:v>
                </c:pt>
                <c:pt idx="13">
                  <c:v>Professional &amp; Soft Skills</c:v>
                </c:pt>
              </c:strCache>
            </c:strRef>
          </c:cat>
          <c:val>
            <c:numRef>
              <c:f>'Category Frequency Analysis '!$O$7:$O$20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0-795A-47D8-BA0F-F6A09E0382B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Frequency Analysis '!$N$7:$N$20</c:f>
              <c:strCache>
                <c:ptCount val="14"/>
                <c:pt idx="0">
                  <c:v>Data Analysis &amp; Statistics</c:v>
                </c:pt>
                <c:pt idx="1">
                  <c:v>Software Engineering</c:v>
                </c:pt>
                <c:pt idx="2">
                  <c:v>Machine Learning</c:v>
                </c:pt>
                <c:pt idx="3">
                  <c:v>Programming Languages</c:v>
                </c:pt>
                <c:pt idx="4">
                  <c:v>Data Engineering &amp; Big Data</c:v>
                </c:pt>
                <c:pt idx="5">
                  <c:v>Databases &amp; SQL</c:v>
                </c:pt>
                <c:pt idx="6">
                  <c:v>Deep Learning</c:v>
                </c:pt>
                <c:pt idx="7">
                  <c:v>Artificial Intelligence</c:v>
                </c:pt>
                <c:pt idx="8">
                  <c:v>Generative AI &amp; NLP</c:v>
                </c:pt>
                <c:pt idx="9">
                  <c:v>Data Visualization &amp; BI</c:v>
                </c:pt>
                <c:pt idx="10">
                  <c:v>Cloud &amp; MLOps</c:v>
                </c:pt>
                <c:pt idx="11">
                  <c:v>Domain Applications</c:v>
                </c:pt>
                <c:pt idx="12">
                  <c:v>Computer Vision</c:v>
                </c:pt>
                <c:pt idx="13">
                  <c:v>Professional &amp; Soft Skills</c:v>
                </c:pt>
              </c:strCache>
            </c:strRef>
          </c:cat>
          <c:val>
            <c:numRef>
              <c:f>'Category Frequency Analysis '!$P$7:$P$20</c:f>
              <c:numCache>
                <c:formatCode>General</c:formatCode>
                <c:ptCount val="14"/>
                <c:pt idx="0">
                  <c:v>429</c:v>
                </c:pt>
                <c:pt idx="1">
                  <c:v>251</c:v>
                </c:pt>
                <c:pt idx="2">
                  <c:v>172</c:v>
                </c:pt>
                <c:pt idx="3">
                  <c:v>144</c:v>
                </c:pt>
                <c:pt idx="4">
                  <c:v>112</c:v>
                </c:pt>
                <c:pt idx="5">
                  <c:v>91</c:v>
                </c:pt>
                <c:pt idx="6">
                  <c:v>89</c:v>
                </c:pt>
                <c:pt idx="7">
                  <c:v>83</c:v>
                </c:pt>
                <c:pt idx="8">
                  <c:v>71</c:v>
                </c:pt>
                <c:pt idx="9">
                  <c:v>71</c:v>
                </c:pt>
                <c:pt idx="10">
                  <c:v>59</c:v>
                </c:pt>
                <c:pt idx="11">
                  <c:v>55</c:v>
                </c:pt>
                <c:pt idx="12">
                  <c:v>36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5A-47D8-BA0F-F6A09E0382B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Frequency Analysis '!$N$7:$N$20</c:f>
              <c:strCache>
                <c:ptCount val="14"/>
                <c:pt idx="0">
                  <c:v>Data Analysis &amp; Statistics</c:v>
                </c:pt>
                <c:pt idx="1">
                  <c:v>Software Engineering</c:v>
                </c:pt>
                <c:pt idx="2">
                  <c:v>Machine Learning</c:v>
                </c:pt>
                <c:pt idx="3">
                  <c:v>Programming Languages</c:v>
                </c:pt>
                <c:pt idx="4">
                  <c:v>Data Engineering &amp; Big Data</c:v>
                </c:pt>
                <c:pt idx="5">
                  <c:v>Databases &amp; SQL</c:v>
                </c:pt>
                <c:pt idx="6">
                  <c:v>Deep Learning</c:v>
                </c:pt>
                <c:pt idx="7">
                  <c:v>Artificial Intelligence</c:v>
                </c:pt>
                <c:pt idx="8">
                  <c:v>Generative AI &amp; NLP</c:v>
                </c:pt>
                <c:pt idx="9">
                  <c:v>Data Visualization &amp; BI</c:v>
                </c:pt>
                <c:pt idx="10">
                  <c:v>Cloud &amp; MLOps</c:v>
                </c:pt>
                <c:pt idx="11">
                  <c:v>Domain Applications</c:v>
                </c:pt>
                <c:pt idx="12">
                  <c:v>Computer Vision</c:v>
                </c:pt>
                <c:pt idx="13">
                  <c:v>Professional &amp; Soft Skills</c:v>
                </c:pt>
              </c:strCache>
            </c:strRef>
          </c:cat>
          <c:val>
            <c:numRef>
              <c:f>'Category Frequency Analysis '!$Q$7:$Q$20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4-795A-47D8-BA0F-F6A09E0382B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Frequency Analysis '!$N$7:$N$20</c:f>
              <c:strCache>
                <c:ptCount val="14"/>
                <c:pt idx="0">
                  <c:v>Data Analysis &amp; Statistics</c:v>
                </c:pt>
                <c:pt idx="1">
                  <c:v>Software Engineering</c:v>
                </c:pt>
                <c:pt idx="2">
                  <c:v>Machine Learning</c:v>
                </c:pt>
                <c:pt idx="3">
                  <c:v>Programming Languages</c:v>
                </c:pt>
                <c:pt idx="4">
                  <c:v>Data Engineering &amp; Big Data</c:v>
                </c:pt>
                <c:pt idx="5">
                  <c:v>Databases &amp; SQL</c:v>
                </c:pt>
                <c:pt idx="6">
                  <c:v>Deep Learning</c:v>
                </c:pt>
                <c:pt idx="7">
                  <c:v>Artificial Intelligence</c:v>
                </c:pt>
                <c:pt idx="8">
                  <c:v>Generative AI &amp; NLP</c:v>
                </c:pt>
                <c:pt idx="9">
                  <c:v>Data Visualization &amp; BI</c:v>
                </c:pt>
                <c:pt idx="10">
                  <c:v>Cloud &amp; MLOps</c:v>
                </c:pt>
                <c:pt idx="11">
                  <c:v>Domain Applications</c:v>
                </c:pt>
                <c:pt idx="12">
                  <c:v>Computer Vision</c:v>
                </c:pt>
                <c:pt idx="13">
                  <c:v>Professional &amp; Soft Skills</c:v>
                </c:pt>
              </c:strCache>
            </c:strRef>
          </c:cat>
          <c:val>
            <c:numRef>
              <c:f>'Category Frequency Analysis '!$R$7:$R$20</c:f>
              <c:numCache>
                <c:formatCode>0.00%</c:formatCode>
                <c:ptCount val="14"/>
                <c:pt idx="0">
                  <c:v>0.25657894736842107</c:v>
                </c:pt>
                <c:pt idx="1">
                  <c:v>0.15011961722488038</c:v>
                </c:pt>
                <c:pt idx="2">
                  <c:v>0.10287081339712918</c:v>
                </c:pt>
                <c:pt idx="3">
                  <c:v>8.6124401913875603E-2</c:v>
                </c:pt>
                <c:pt idx="4">
                  <c:v>6.6985645933014357E-2</c:v>
                </c:pt>
                <c:pt idx="5">
                  <c:v>5.4425837320574162E-2</c:v>
                </c:pt>
                <c:pt idx="6">
                  <c:v>5.3229665071770335E-2</c:v>
                </c:pt>
                <c:pt idx="7">
                  <c:v>4.9641148325358854E-2</c:v>
                </c:pt>
                <c:pt idx="8">
                  <c:v>4.2464114832535885E-2</c:v>
                </c:pt>
                <c:pt idx="9">
                  <c:v>4.2464114832535885E-2</c:v>
                </c:pt>
                <c:pt idx="10">
                  <c:v>3.5287081339712915E-2</c:v>
                </c:pt>
                <c:pt idx="11">
                  <c:v>3.2894736842105261E-2</c:v>
                </c:pt>
                <c:pt idx="12">
                  <c:v>2.1531100478468901E-2</c:v>
                </c:pt>
                <c:pt idx="13">
                  <c:v>5.3827751196172252E-3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5A-47D8-BA0F-F6A09E0382BE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Frequency Analysis '!$N$7:$N$20</c:f>
              <c:strCache>
                <c:ptCount val="14"/>
                <c:pt idx="0">
                  <c:v>Data Analysis &amp; Statistics</c:v>
                </c:pt>
                <c:pt idx="1">
                  <c:v>Software Engineering</c:v>
                </c:pt>
                <c:pt idx="2">
                  <c:v>Machine Learning</c:v>
                </c:pt>
                <c:pt idx="3">
                  <c:v>Programming Languages</c:v>
                </c:pt>
                <c:pt idx="4">
                  <c:v>Data Engineering &amp; Big Data</c:v>
                </c:pt>
                <c:pt idx="5">
                  <c:v>Databases &amp; SQL</c:v>
                </c:pt>
                <c:pt idx="6">
                  <c:v>Deep Learning</c:v>
                </c:pt>
                <c:pt idx="7">
                  <c:v>Artificial Intelligence</c:v>
                </c:pt>
                <c:pt idx="8">
                  <c:v>Generative AI &amp; NLP</c:v>
                </c:pt>
                <c:pt idx="9">
                  <c:v>Data Visualization &amp; BI</c:v>
                </c:pt>
                <c:pt idx="10">
                  <c:v>Cloud &amp; MLOps</c:v>
                </c:pt>
                <c:pt idx="11">
                  <c:v>Domain Applications</c:v>
                </c:pt>
                <c:pt idx="12">
                  <c:v>Computer Vision</c:v>
                </c:pt>
                <c:pt idx="13">
                  <c:v>Professional &amp; Soft Skills</c:v>
                </c:pt>
              </c:strCache>
            </c:strRef>
          </c:cat>
          <c:val>
            <c:numRef>
              <c:f>'Category Frequency Analysis '!$S$7:$S$20</c:f>
              <c:numCache>
                <c:formatCode>0.00%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8-795A-47D8-BA0F-F6A09E0382BE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'Category Frequency Analysis '!$N$7:$N$20</c:f>
              <c:strCache>
                <c:ptCount val="14"/>
                <c:pt idx="0">
                  <c:v>Data Analysis &amp; Statistics</c:v>
                </c:pt>
                <c:pt idx="1">
                  <c:v>Software Engineering</c:v>
                </c:pt>
                <c:pt idx="2">
                  <c:v>Machine Learning</c:v>
                </c:pt>
                <c:pt idx="3">
                  <c:v>Programming Languages</c:v>
                </c:pt>
                <c:pt idx="4">
                  <c:v>Data Engineering &amp; Big Data</c:v>
                </c:pt>
                <c:pt idx="5">
                  <c:v>Databases &amp; SQL</c:v>
                </c:pt>
                <c:pt idx="6">
                  <c:v>Deep Learning</c:v>
                </c:pt>
                <c:pt idx="7">
                  <c:v>Artificial Intelligence</c:v>
                </c:pt>
                <c:pt idx="8">
                  <c:v>Generative AI &amp; NLP</c:v>
                </c:pt>
                <c:pt idx="9">
                  <c:v>Data Visualization &amp; BI</c:v>
                </c:pt>
                <c:pt idx="10">
                  <c:v>Cloud &amp; MLOps</c:v>
                </c:pt>
                <c:pt idx="11">
                  <c:v>Domain Applications</c:v>
                </c:pt>
                <c:pt idx="12">
                  <c:v>Computer Vision</c:v>
                </c:pt>
                <c:pt idx="13">
                  <c:v>Professional &amp; Soft Skills</c:v>
                </c:pt>
              </c:strCache>
            </c:strRef>
          </c:cat>
          <c:val>
            <c:numRef>
              <c:f>'Category Frequency Analysis '!$T$7:$T$20</c:f>
              <c:numCache>
                <c:formatCode>0.00%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A-795A-47D8-BA0F-F6A09E038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76741640"/>
        <c:axId val="1076743688"/>
      </c:barChart>
      <c:catAx>
        <c:axId val="1076741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43688"/>
        <c:crosses val="autoZero"/>
        <c:auto val="1"/>
        <c:lblAlgn val="ctr"/>
        <c:lblOffset val="100"/>
        <c:noMultiLvlLbl val="0"/>
      </c:catAx>
      <c:valAx>
        <c:axId val="1076743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41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Industry vs Curriculum Category Contribution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v>Industry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Frequency Analysis '!$X$6:$X$19</c:f>
              <c:strCache>
                <c:ptCount val="14"/>
                <c:pt idx="0">
                  <c:v>Artificial Intelligence</c:v>
                </c:pt>
                <c:pt idx="1">
                  <c:v>Cloud &amp; MLOps</c:v>
                </c:pt>
                <c:pt idx="2">
                  <c:v>Computer Vision</c:v>
                </c:pt>
                <c:pt idx="3">
                  <c:v>Data Analysis &amp; Statistics</c:v>
                </c:pt>
                <c:pt idx="4">
                  <c:v>Data Engineering &amp; Big Data</c:v>
                </c:pt>
                <c:pt idx="5">
                  <c:v>Data Visualization &amp; BI</c:v>
                </c:pt>
                <c:pt idx="6">
                  <c:v>Databases &amp; SQL</c:v>
                </c:pt>
                <c:pt idx="7">
                  <c:v>Deep Learning</c:v>
                </c:pt>
                <c:pt idx="8">
                  <c:v>Domain Applications</c:v>
                </c:pt>
                <c:pt idx="9">
                  <c:v>Generative AI &amp; NLP</c:v>
                </c:pt>
                <c:pt idx="10">
                  <c:v>Machine Learning</c:v>
                </c:pt>
                <c:pt idx="11">
                  <c:v>Professional &amp; Soft Skills</c:v>
                </c:pt>
                <c:pt idx="12">
                  <c:v>Programming Languages</c:v>
                </c:pt>
                <c:pt idx="13">
                  <c:v>Software Engineering</c:v>
                </c:pt>
              </c:strCache>
            </c:strRef>
          </c:cat>
          <c:val>
            <c:numRef>
              <c:f>'Category Frequency Analysis '!$Z$6:$Z$19</c:f>
              <c:numCache>
                <c:formatCode>0.00%</c:formatCode>
                <c:ptCount val="14"/>
                <c:pt idx="0">
                  <c:v>3.5236081747709656E-3</c:v>
                </c:pt>
                <c:pt idx="1">
                  <c:v>9.3023255813953487E-2</c:v>
                </c:pt>
                <c:pt idx="2">
                  <c:v>2.8188865398167725E-3</c:v>
                </c:pt>
                <c:pt idx="3">
                  <c:v>0.10711768851303735</c:v>
                </c:pt>
                <c:pt idx="4">
                  <c:v>2.4665257223396759E-2</c:v>
                </c:pt>
                <c:pt idx="5">
                  <c:v>4.0169133192389003E-2</c:v>
                </c:pt>
                <c:pt idx="6">
                  <c:v>5.2854122621564484E-2</c:v>
                </c:pt>
                <c:pt idx="7">
                  <c:v>8.7385482734319939E-2</c:v>
                </c:pt>
                <c:pt idx="8">
                  <c:v>7.7519379844961239E-3</c:v>
                </c:pt>
                <c:pt idx="9">
                  <c:v>0.15644820295983086</c:v>
                </c:pt>
                <c:pt idx="10">
                  <c:v>0.15997181113460182</c:v>
                </c:pt>
                <c:pt idx="11">
                  <c:v>0.15503875968992248</c:v>
                </c:pt>
                <c:pt idx="12">
                  <c:v>9.0909090909090912E-2</c:v>
                </c:pt>
                <c:pt idx="13">
                  <c:v>1.8322762508809022E-2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5-4698-A0E7-5B8C45211C5F}"/>
            </c:ext>
          </c:extLst>
        </c:ser>
        <c:ser>
          <c:idx val="2"/>
          <c:order val="1"/>
          <c:tx>
            <c:v>Curriculum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'Category Frequency Analysis '!$X$6:$X$19</c:f>
              <c:strCache>
                <c:ptCount val="14"/>
                <c:pt idx="0">
                  <c:v>Artificial Intelligence</c:v>
                </c:pt>
                <c:pt idx="1">
                  <c:v>Cloud &amp; MLOps</c:v>
                </c:pt>
                <c:pt idx="2">
                  <c:v>Computer Vision</c:v>
                </c:pt>
                <c:pt idx="3">
                  <c:v>Data Analysis &amp; Statistics</c:v>
                </c:pt>
                <c:pt idx="4">
                  <c:v>Data Engineering &amp; Big Data</c:v>
                </c:pt>
                <c:pt idx="5">
                  <c:v>Data Visualization &amp; BI</c:v>
                </c:pt>
                <c:pt idx="6">
                  <c:v>Databases &amp; SQL</c:v>
                </c:pt>
                <c:pt idx="7">
                  <c:v>Deep Learning</c:v>
                </c:pt>
                <c:pt idx="8">
                  <c:v>Domain Applications</c:v>
                </c:pt>
                <c:pt idx="9">
                  <c:v>Generative AI &amp; NLP</c:v>
                </c:pt>
                <c:pt idx="10">
                  <c:v>Machine Learning</c:v>
                </c:pt>
                <c:pt idx="11">
                  <c:v>Professional &amp; Soft Skills</c:v>
                </c:pt>
                <c:pt idx="12">
                  <c:v>Programming Languages</c:v>
                </c:pt>
                <c:pt idx="13">
                  <c:v>Software Engineering</c:v>
                </c:pt>
              </c:strCache>
            </c:strRef>
          </c:cat>
          <c:val>
            <c:numRef>
              <c:f>'Category Frequency Analysis '!$AA$6:$AA$19</c:f>
              <c:numCache>
                <c:formatCode>0.00%</c:formatCode>
                <c:ptCount val="14"/>
                <c:pt idx="0">
                  <c:v>4.9641148325358854E-2</c:v>
                </c:pt>
                <c:pt idx="1">
                  <c:v>3.5287081339712915E-2</c:v>
                </c:pt>
                <c:pt idx="2">
                  <c:v>2.1531100478468901E-2</c:v>
                </c:pt>
                <c:pt idx="3">
                  <c:v>0.25657894736842107</c:v>
                </c:pt>
                <c:pt idx="4">
                  <c:v>6.6985645933014357E-2</c:v>
                </c:pt>
                <c:pt idx="5">
                  <c:v>4.2464114832535885E-2</c:v>
                </c:pt>
                <c:pt idx="6">
                  <c:v>5.4425837320574162E-2</c:v>
                </c:pt>
                <c:pt idx="7">
                  <c:v>5.3229665071770335E-2</c:v>
                </c:pt>
                <c:pt idx="8">
                  <c:v>3.2894736842105261E-2</c:v>
                </c:pt>
                <c:pt idx="9">
                  <c:v>4.2464114832535885E-2</c:v>
                </c:pt>
                <c:pt idx="10">
                  <c:v>0.10287081339712918</c:v>
                </c:pt>
                <c:pt idx="11">
                  <c:v>5.3827751196172252E-3</c:v>
                </c:pt>
                <c:pt idx="12">
                  <c:v>8.6124401913875603E-2</c:v>
                </c:pt>
                <c:pt idx="13">
                  <c:v>0.15011961722488038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55-4698-A0E7-5B8C45211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4127624"/>
        <c:axId val="1101284872"/>
      </c:barChart>
      <c:catAx>
        <c:axId val="1094127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284872"/>
        <c:crosses val="autoZero"/>
        <c:auto val="1"/>
        <c:lblAlgn val="ctr"/>
        <c:lblOffset val="100"/>
        <c:noMultiLvlLbl val="0"/>
      </c:catAx>
      <c:valAx>
        <c:axId val="110128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 Contribution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12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Skills by Alignment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'Alignment Analysis'!$H$22</c:f>
              <c:strCache>
                <c:ptCount val="1"/>
                <c:pt idx="0">
                  <c:v>Alignment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'Alignment Analysis'!$G$23:$G$32</c:f>
              <c:strCache>
                <c:ptCount val="10"/>
                <c:pt idx="0">
                  <c:v>Feature Engineering</c:v>
                </c:pt>
                <c:pt idx="1">
                  <c:v>Python</c:v>
                </c:pt>
                <c:pt idx="2">
                  <c:v>Machine Learning</c:v>
                </c:pt>
                <c:pt idx="3">
                  <c:v>ETL / ELT Pipelines &amp; Data Pipelines</c:v>
                </c:pt>
                <c:pt idx="4">
                  <c:v>Data Visualization &amp; Dashboards</c:v>
                </c:pt>
                <c:pt idx="5">
                  <c:v>SQL</c:v>
                </c:pt>
                <c:pt idx="6">
                  <c:v>Data Visualization</c:v>
                </c:pt>
                <c:pt idx="7">
                  <c:v>Tableau</c:v>
                </c:pt>
                <c:pt idx="8">
                  <c:v>Exploratory Data Analysis (EDA)</c:v>
                </c:pt>
                <c:pt idx="9">
                  <c:v>Data Pipelines &amp; Automation</c:v>
                </c:pt>
              </c:strCache>
            </c:strRef>
          </c:cat>
          <c:val>
            <c:numRef>
              <c:f>'Alignment Analysis'!$H$23:$H$32</c:f>
              <c:numCache>
                <c:formatCode>0.00%</c:formatCode>
                <c:ptCount val="10"/>
                <c:pt idx="0">
                  <c:v>0.99580712788259951</c:v>
                </c:pt>
                <c:pt idx="1">
                  <c:v>0.91139240506329111</c:v>
                </c:pt>
                <c:pt idx="2">
                  <c:v>0.87797333333333338</c:v>
                </c:pt>
                <c:pt idx="3">
                  <c:v>0.81300813008130079</c:v>
                </c:pt>
                <c:pt idx="4">
                  <c:v>0.81244196843082639</c:v>
                </c:pt>
                <c:pt idx="5">
                  <c:v>0.75357950263752826</c:v>
                </c:pt>
                <c:pt idx="6">
                  <c:v>0.68571428571428572</c:v>
                </c:pt>
                <c:pt idx="7">
                  <c:v>0.61599999999999999</c:v>
                </c:pt>
                <c:pt idx="8">
                  <c:v>0.61499999999999999</c:v>
                </c:pt>
                <c:pt idx="9">
                  <c:v>0.59101654846335694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4-44C2-8787-AC8D6D4C63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64804103"/>
        <c:axId val="965272583"/>
      </c:barChart>
      <c:catAx>
        <c:axId val="964804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272583"/>
        <c:crosses val="autoZero"/>
        <c:auto val="1"/>
        <c:lblAlgn val="ctr"/>
        <c:lblOffset val="100"/>
        <c:noMultiLvlLbl val="0"/>
      </c:catAx>
      <c:valAx>
        <c:axId val="96527258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04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Skill Gap by Skill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'Skill Gap Analysis'!$D$4</c:f>
              <c:strCache>
                <c:ptCount val="1"/>
                <c:pt idx="0">
                  <c:v>Skill Gap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'Skill Gap Analysis'!$A$5:$A$51</c:f>
              <c:strCache>
                <c:ptCount val="47"/>
                <c:pt idx="0">
                  <c:v>Python</c:v>
                </c:pt>
                <c:pt idx="1">
                  <c:v>Machine Learning</c:v>
                </c:pt>
                <c:pt idx="2">
                  <c:v>SQL</c:v>
                </c:pt>
                <c:pt idx="3">
                  <c:v>Cloud Platforms (AWS / Azure / GCP)</c:v>
                </c:pt>
                <c:pt idx="4">
                  <c:v>Scikit-learn / NumPy / Pandas</c:v>
                </c:pt>
                <c:pt idx="5">
                  <c:v>Statistical Analysis</c:v>
                </c:pt>
                <c:pt idx="6">
                  <c:v>Large Language Models (LLMs)</c:v>
                </c:pt>
                <c:pt idx="7">
                  <c:v>Generative AI</c:v>
                </c:pt>
                <c:pt idx="8">
                  <c:v>PyTorch</c:v>
                </c:pt>
                <c:pt idx="9">
                  <c:v>TensorFlow / Keras</c:v>
                </c:pt>
                <c:pt idx="10">
                  <c:v>Data Visualization</c:v>
                </c:pt>
                <c:pt idx="11">
                  <c:v>Natural Language Processing (NLP)</c:v>
                </c:pt>
                <c:pt idx="12">
                  <c:v>Deep Learning</c:v>
                </c:pt>
                <c:pt idx="13">
                  <c:v>Feature Engineering</c:v>
                </c:pt>
                <c:pt idx="14">
                  <c:v>Data Preprocessing &amp; Cleaning</c:v>
                </c:pt>
                <c:pt idx="15">
                  <c:v>Time Series Forecasting</c:v>
                </c:pt>
                <c:pt idx="16">
                  <c:v>Data Visualization &amp; Dashboards</c:v>
                </c:pt>
                <c:pt idx="17">
                  <c:v>Data Pipelines &amp; Automation</c:v>
                </c:pt>
                <c:pt idx="18">
                  <c:v>Hypothesis Testing</c:v>
                </c:pt>
                <c:pt idx="19">
                  <c:v>R Programming</c:v>
                </c:pt>
                <c:pt idx="20">
                  <c:v>Anomaly Detection</c:v>
                </c:pt>
                <c:pt idx="21">
                  <c:v>ETL / ELT Pipelines &amp; Data Pipelines</c:v>
                </c:pt>
                <c:pt idx="22">
                  <c:v>Exploratory Data Analysis (EDA)</c:v>
                </c:pt>
                <c:pt idx="23">
                  <c:v>Big Data (Hadoop / Spark)</c:v>
                </c:pt>
                <c:pt idx="24">
                  <c:v>Artificial Intelligence</c:v>
                </c:pt>
                <c:pt idx="25">
                  <c:v>Data Preprocessing &amp; Augmentation</c:v>
                </c:pt>
                <c:pt idx="26">
                  <c:v>Model Evaluation</c:v>
                </c:pt>
                <c:pt idx="27">
                  <c:v>Predictive Modeling</c:v>
                </c:pt>
                <c:pt idx="28">
                  <c:v>Statistical Modeling</c:v>
                </c:pt>
                <c:pt idx="29">
                  <c:v>Supervised Learning</c:v>
                </c:pt>
                <c:pt idx="30">
                  <c:v>Tableau</c:v>
                </c:pt>
                <c:pt idx="31">
                  <c:v>Customer Segmentation</c:v>
                </c:pt>
                <c:pt idx="32">
                  <c:v>NoSQL Databases</c:v>
                </c:pt>
                <c:pt idx="33">
                  <c:v>React / Frontend Frameworks</c:v>
                </c:pt>
                <c:pt idx="34">
                  <c:v>SQL / Relational Databases</c:v>
                </c:pt>
                <c:pt idx="35">
                  <c:v>Algorithms &amp; Data Structures</c:v>
                </c:pt>
                <c:pt idx="36">
                  <c:v>Bayesian Methods / Causal Inference</c:v>
                </c:pt>
                <c:pt idx="37">
                  <c:v>C / C++</c:v>
                </c:pt>
                <c:pt idx="38">
                  <c:v>Causal Inference</c:v>
                </c:pt>
                <c:pt idx="39">
                  <c:v>Cloud Data Warehousing (BigQuery / Redshift)</c:v>
                </c:pt>
                <c:pt idx="40">
                  <c:v>Computer Vision</c:v>
                </c:pt>
                <c:pt idx="41">
                  <c:v>Computer Vision / Image Processing</c:v>
                </c:pt>
                <c:pt idx="42">
                  <c:v>Data Mining</c:v>
                </c:pt>
                <c:pt idx="43">
                  <c:v>Large-Scale Data Processing / Big Data</c:v>
                </c:pt>
                <c:pt idx="44">
                  <c:v>Model Evaluation &amp; Optimization</c:v>
                </c:pt>
                <c:pt idx="45">
                  <c:v>Predictive Analytics</c:v>
                </c:pt>
                <c:pt idx="46">
                  <c:v>AI Safety &amp; Responsible AI</c:v>
                </c:pt>
              </c:strCache>
            </c:strRef>
          </c:cat>
          <c:val>
            <c:numRef>
              <c:f>'Skill Gap Analysis'!$D$5:$D$51</c:f>
              <c:numCache>
                <c:formatCode>0.00</c:formatCode>
                <c:ptCount val="47"/>
                <c:pt idx="0">
                  <c:v>-8.75</c:v>
                </c:pt>
                <c:pt idx="1">
                  <c:v>-11.439999999999998</c:v>
                </c:pt>
                <c:pt idx="2">
                  <c:v>13.079999999999998</c:v>
                </c:pt>
                <c:pt idx="3">
                  <c:v>32.21</c:v>
                </c:pt>
                <c:pt idx="4">
                  <c:v>-46.06</c:v>
                </c:pt>
                <c:pt idx="5">
                  <c:v>-52.31</c:v>
                </c:pt>
                <c:pt idx="6">
                  <c:v>-33.08</c:v>
                </c:pt>
                <c:pt idx="7">
                  <c:v>24.619999999999997</c:v>
                </c:pt>
                <c:pt idx="8">
                  <c:v>-44.9</c:v>
                </c:pt>
                <c:pt idx="9">
                  <c:v>-46.44</c:v>
                </c:pt>
                <c:pt idx="10">
                  <c:v>-13.75</c:v>
                </c:pt>
                <c:pt idx="11">
                  <c:v>-40</c:v>
                </c:pt>
                <c:pt idx="12">
                  <c:v>-49.519999999999996</c:v>
                </c:pt>
                <c:pt idx="13">
                  <c:v>0.10000000000000142</c:v>
                </c:pt>
                <c:pt idx="14">
                  <c:v>-9.9</c:v>
                </c:pt>
                <c:pt idx="15">
                  <c:v>-10.96</c:v>
                </c:pt>
                <c:pt idx="16">
                  <c:v>2.0199999999999996</c:v>
                </c:pt>
                <c:pt idx="17">
                  <c:v>3.4600000000000009</c:v>
                </c:pt>
                <c:pt idx="18">
                  <c:v>-91.539999999999992</c:v>
                </c:pt>
                <c:pt idx="19">
                  <c:v>-21.06</c:v>
                </c:pt>
                <c:pt idx="20">
                  <c:v>-87.6</c:v>
                </c:pt>
                <c:pt idx="21">
                  <c:v>1.1500000000000004</c:v>
                </c:pt>
                <c:pt idx="22">
                  <c:v>-3.8499999999999996</c:v>
                </c:pt>
                <c:pt idx="23">
                  <c:v>-52.12</c:v>
                </c:pt>
                <c:pt idx="24">
                  <c:v>-73.17</c:v>
                </c:pt>
                <c:pt idx="25">
                  <c:v>-20.67</c:v>
                </c:pt>
                <c:pt idx="26">
                  <c:v>-90.67</c:v>
                </c:pt>
                <c:pt idx="27">
                  <c:v>-43.17</c:v>
                </c:pt>
                <c:pt idx="28">
                  <c:v>-96.92</c:v>
                </c:pt>
                <c:pt idx="29">
                  <c:v>-30.67</c:v>
                </c:pt>
                <c:pt idx="30">
                  <c:v>-1.92</c:v>
                </c:pt>
                <c:pt idx="31">
                  <c:v>-25.19</c:v>
                </c:pt>
                <c:pt idx="32">
                  <c:v>-10.19</c:v>
                </c:pt>
                <c:pt idx="33">
                  <c:v>-3.94</c:v>
                </c:pt>
                <c:pt idx="34">
                  <c:v>-58.94</c:v>
                </c:pt>
                <c:pt idx="35">
                  <c:v>-88.46</c:v>
                </c:pt>
                <c:pt idx="36">
                  <c:v>-4.71</c:v>
                </c:pt>
                <c:pt idx="37">
                  <c:v>-2.21</c:v>
                </c:pt>
                <c:pt idx="38">
                  <c:v>-98.46</c:v>
                </c:pt>
                <c:pt idx="39">
                  <c:v>-15.96</c:v>
                </c:pt>
                <c:pt idx="40">
                  <c:v>-29.71</c:v>
                </c:pt>
                <c:pt idx="41">
                  <c:v>-2.21</c:v>
                </c:pt>
                <c:pt idx="42">
                  <c:v>-74.709999999999994</c:v>
                </c:pt>
                <c:pt idx="43">
                  <c:v>-55.96</c:v>
                </c:pt>
                <c:pt idx="44">
                  <c:v>-14.71</c:v>
                </c:pt>
                <c:pt idx="45">
                  <c:v>-68.459999999999994</c:v>
                </c:pt>
                <c:pt idx="46">
                  <c:v>-10.48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E-42D0-AD8A-C46AD72431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0578951"/>
        <c:axId val="850688007"/>
      </c:barChart>
      <c:catAx>
        <c:axId val="850578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88007"/>
        <c:crosses val="autoZero"/>
        <c:auto val="1"/>
        <c:lblAlgn val="ctr"/>
        <c:lblOffset val="100"/>
        <c:noMultiLvlLbl val="0"/>
      </c:catAx>
      <c:valAx>
        <c:axId val="850688007"/>
        <c:scaling>
          <c:orientation val="minMax"/>
          <c:min val="-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578951"/>
        <c:crosses val="autoZero"/>
        <c:crossBetween val="between"/>
        <c:min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Absolute Skill Gaps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'Skill Gap Analysis'!$B$91</c:f>
              <c:strCache>
                <c:ptCount val="1"/>
                <c:pt idx="0">
                  <c:v>Absolute Gap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'Skill Gap Analysis'!$A$92:$A$101</c:f>
              <c:strCache>
                <c:ptCount val="10"/>
                <c:pt idx="0">
                  <c:v>Causal Inference</c:v>
                </c:pt>
                <c:pt idx="1">
                  <c:v>Statistical Modeling</c:v>
                </c:pt>
                <c:pt idx="2">
                  <c:v>Hypothesis Testing</c:v>
                </c:pt>
                <c:pt idx="3">
                  <c:v>Model Evaluation</c:v>
                </c:pt>
                <c:pt idx="4">
                  <c:v>Algorithms &amp; Data Structures</c:v>
                </c:pt>
                <c:pt idx="5">
                  <c:v>Anomaly Detection</c:v>
                </c:pt>
                <c:pt idx="6">
                  <c:v>Data Mining</c:v>
                </c:pt>
                <c:pt idx="7">
                  <c:v>Artificial Intelligence</c:v>
                </c:pt>
                <c:pt idx="8">
                  <c:v>Predictive Analytics</c:v>
                </c:pt>
                <c:pt idx="9">
                  <c:v>SQL / Relational Databases</c:v>
                </c:pt>
              </c:strCache>
            </c:strRef>
          </c:cat>
          <c:val>
            <c:numRef>
              <c:f>'Skill Gap Analysis'!$B$92:$B$101</c:f>
              <c:numCache>
                <c:formatCode>General</c:formatCode>
                <c:ptCount val="10"/>
                <c:pt idx="0">
                  <c:v>98.46</c:v>
                </c:pt>
                <c:pt idx="1">
                  <c:v>96.92</c:v>
                </c:pt>
                <c:pt idx="2">
                  <c:v>91.539999999999992</c:v>
                </c:pt>
                <c:pt idx="3">
                  <c:v>90.67</c:v>
                </c:pt>
                <c:pt idx="4">
                  <c:v>88.46</c:v>
                </c:pt>
                <c:pt idx="5">
                  <c:v>87.6</c:v>
                </c:pt>
                <c:pt idx="6">
                  <c:v>74.709999999999994</c:v>
                </c:pt>
                <c:pt idx="7">
                  <c:v>73.17</c:v>
                </c:pt>
                <c:pt idx="8">
                  <c:v>68.459999999999994</c:v>
                </c:pt>
                <c:pt idx="9">
                  <c:v>58.94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5-4EF0-97CA-4B0AFF7EA5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3063303"/>
        <c:axId val="823140359"/>
      </c:barChart>
      <c:catAx>
        <c:axId val="763063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40359"/>
        <c:crosses val="autoZero"/>
        <c:auto val="1"/>
        <c:lblAlgn val="ctr"/>
        <c:lblOffset val="100"/>
        <c:noMultiLvlLbl val="0"/>
      </c:catAx>
      <c:valAx>
        <c:axId val="82314035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Absolute Gap (percentage points)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063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Industry Skill Coverage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'Curriculum Coverage'!$E$98:$E$100</c:f>
              <c:strCache>
                <c:ptCount val="3"/>
                <c:pt idx="0">
                  <c:v>Covered</c:v>
                </c:pt>
                <c:pt idx="1">
                  <c:v>Partially Covered</c:v>
                </c:pt>
                <c:pt idx="2">
                  <c:v>Industry Only</c:v>
                </c:pt>
              </c:strCache>
            </c:strRef>
          </c:cat>
          <c:val>
            <c:numRef>
              <c:f>'Curriculum Coverage'!$F$98:$F$100</c:f>
              <c:numCache>
                <c:formatCode>General</c:formatCode>
                <c:ptCount val="3"/>
                <c:pt idx="0">
                  <c:v>25</c:v>
                </c:pt>
                <c:pt idx="1">
                  <c:v>22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5-4249-96DF-07054D1DD1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90632"/>
        <c:axId val="13168136"/>
      </c:barChart>
      <c:catAx>
        <c:axId val="12890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136"/>
        <c:crosses val="autoZero"/>
        <c:auto val="1"/>
        <c:lblAlgn val="ctr"/>
        <c:lblOffset val="100"/>
        <c:noMultiLvlLbl val="0"/>
      </c:catAx>
      <c:valAx>
        <c:axId val="13168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0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Coverage by Priority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'Curriculum Coverage'!$C$112</c:f>
              <c:strCache>
                <c:ptCount val="1"/>
                <c:pt idx="0">
                  <c:v>Covered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'Curriculum Coverage'!$A$113:$A$116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</c:strCache>
            </c:strRef>
          </c:cat>
          <c:val>
            <c:numRef>
              <c:f>'Curriculum Coverage'!$C$113:$C$116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1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A-4B69-AF88-D25B1597CD1D}"/>
            </c:ext>
          </c:extLst>
        </c:ser>
        <c:ser>
          <c:idx val="1"/>
          <c:order val="1"/>
          <c:tx>
            <c:strRef>
              <c:f>'Curriculum Coverage'!$D$112</c:f>
              <c:strCache>
                <c:ptCount val="1"/>
                <c:pt idx="0">
                  <c:v>Partially Covered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'Curriculum Coverage'!$A$113:$A$116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</c:strCache>
            </c:strRef>
          </c:cat>
          <c:val>
            <c:numRef>
              <c:f>'Curriculum Coverage'!$D$113:$D$116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5A-4B69-AF88-D25B1597CD1D}"/>
            </c:ext>
          </c:extLst>
        </c:ser>
        <c:ser>
          <c:idx val="2"/>
          <c:order val="2"/>
          <c:tx>
            <c:strRef>
              <c:f>'Curriculum Coverage'!$E$112</c:f>
              <c:strCache>
                <c:ptCount val="1"/>
                <c:pt idx="0">
                  <c:v>Industry Only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'Curriculum Coverage'!$A$113:$A$116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</c:strCache>
            </c:strRef>
          </c:cat>
          <c:val>
            <c:numRef>
              <c:f>'Curriculum Coverage'!$E$113:$E$116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5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5A-4B69-AF88-D25B1597CD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117792263"/>
        <c:axId val="2117794311"/>
      </c:barChart>
      <c:catAx>
        <c:axId val="2117792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94311"/>
        <c:crosses val="autoZero"/>
        <c:auto val="1"/>
        <c:lblAlgn val="ctr"/>
        <c:lblOffset val="100"/>
        <c:noMultiLvlLbl val="0"/>
      </c:catAx>
      <c:valAx>
        <c:axId val="2117794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9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Skill Category Coverage: Strict vs Broad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'Curriculum Coverage'!$F$120</c:f>
              <c:strCache>
                <c:ptCount val="1"/>
                <c:pt idx="0">
                  <c:v>Strict Coverage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'Curriculum Coverage'!$A$121:$A$134</c:f>
              <c:strCache>
                <c:ptCount val="14"/>
                <c:pt idx="0">
                  <c:v>Data Analysis &amp; Statistics</c:v>
                </c:pt>
                <c:pt idx="1">
                  <c:v>Programming Languages</c:v>
                </c:pt>
                <c:pt idx="2">
                  <c:v>Machine Learning</c:v>
                </c:pt>
                <c:pt idx="3">
                  <c:v>Software Engineering</c:v>
                </c:pt>
                <c:pt idx="4">
                  <c:v>Deep Learning</c:v>
                </c:pt>
                <c:pt idx="5">
                  <c:v>Artificial Intelligence</c:v>
                </c:pt>
                <c:pt idx="6">
                  <c:v>Generative AI &amp; NLP</c:v>
                </c:pt>
                <c:pt idx="7">
                  <c:v>Databases &amp; SQL</c:v>
                </c:pt>
                <c:pt idx="8">
                  <c:v>Cloud &amp; MLOps</c:v>
                </c:pt>
                <c:pt idx="9">
                  <c:v>Data Engineering &amp; Big Data</c:v>
                </c:pt>
                <c:pt idx="10">
                  <c:v>Data Visualization &amp; BI</c:v>
                </c:pt>
                <c:pt idx="11">
                  <c:v>Computer Vision</c:v>
                </c:pt>
                <c:pt idx="12">
                  <c:v>Professional &amp; Soft Skills</c:v>
                </c:pt>
                <c:pt idx="13">
                  <c:v>Domain Applications</c:v>
                </c:pt>
              </c:strCache>
            </c:strRef>
          </c:cat>
          <c:val>
            <c:numRef>
              <c:f>'Curriculum Coverage'!$F$121:$F$134</c:f>
              <c:numCache>
                <c:formatCode>0.00%</c:formatCode>
                <c:ptCount val="14"/>
                <c:pt idx="0">
                  <c:v>0.35714285714285715</c:v>
                </c:pt>
                <c:pt idx="1">
                  <c:v>1</c:v>
                </c:pt>
                <c:pt idx="2">
                  <c:v>0.1</c:v>
                </c:pt>
                <c:pt idx="3">
                  <c:v>0.16666666666666666</c:v>
                </c:pt>
                <c:pt idx="4">
                  <c:v>0.33333333333333331</c:v>
                </c:pt>
                <c:pt idx="5">
                  <c:v>0.5</c:v>
                </c:pt>
                <c:pt idx="6">
                  <c:v>0.15384615384615385</c:v>
                </c:pt>
                <c:pt idx="7">
                  <c:v>1</c:v>
                </c:pt>
                <c:pt idx="8">
                  <c:v>0.125</c:v>
                </c:pt>
                <c:pt idx="9">
                  <c:v>0.5</c:v>
                </c:pt>
                <c:pt idx="10">
                  <c:v>0.66666666666666663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0-4DA4-9AA5-6E8ED65F3C69}"/>
            </c:ext>
          </c:extLst>
        </c:ser>
        <c:ser>
          <c:idx val="1"/>
          <c:order val="1"/>
          <c:tx>
            <c:strRef>
              <c:f>'Curriculum Coverage'!$G$120</c:f>
              <c:strCache>
                <c:ptCount val="1"/>
                <c:pt idx="0">
                  <c:v>Broad Coverage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'Curriculum Coverage'!$A$121:$A$134</c:f>
              <c:strCache>
                <c:ptCount val="14"/>
                <c:pt idx="0">
                  <c:v>Data Analysis &amp; Statistics</c:v>
                </c:pt>
                <c:pt idx="1">
                  <c:v>Programming Languages</c:v>
                </c:pt>
                <c:pt idx="2">
                  <c:v>Machine Learning</c:v>
                </c:pt>
                <c:pt idx="3">
                  <c:v>Software Engineering</c:v>
                </c:pt>
                <c:pt idx="4">
                  <c:v>Deep Learning</c:v>
                </c:pt>
                <c:pt idx="5">
                  <c:v>Artificial Intelligence</c:v>
                </c:pt>
                <c:pt idx="6">
                  <c:v>Generative AI &amp; NLP</c:v>
                </c:pt>
                <c:pt idx="7">
                  <c:v>Databases &amp; SQL</c:v>
                </c:pt>
                <c:pt idx="8">
                  <c:v>Cloud &amp; MLOps</c:v>
                </c:pt>
                <c:pt idx="9">
                  <c:v>Data Engineering &amp; Big Data</c:v>
                </c:pt>
                <c:pt idx="10">
                  <c:v>Data Visualization &amp; BI</c:v>
                </c:pt>
                <c:pt idx="11">
                  <c:v>Computer Vision</c:v>
                </c:pt>
                <c:pt idx="12">
                  <c:v>Professional &amp; Soft Skills</c:v>
                </c:pt>
                <c:pt idx="13">
                  <c:v>Domain Applications</c:v>
                </c:pt>
              </c:strCache>
            </c:strRef>
          </c:cat>
          <c:val>
            <c:numRef>
              <c:f>'Curriculum Coverage'!$G$121:$G$134</c:f>
              <c:numCache>
                <c:formatCode>0.00%</c:formatCode>
                <c:ptCount val="14"/>
                <c:pt idx="0">
                  <c:v>0.7857142857142857</c:v>
                </c:pt>
                <c:pt idx="1">
                  <c:v>1</c:v>
                </c:pt>
                <c:pt idx="2">
                  <c:v>0.8</c:v>
                </c:pt>
                <c:pt idx="3">
                  <c:v>0.33333333333333331</c:v>
                </c:pt>
                <c:pt idx="4">
                  <c:v>1</c:v>
                </c:pt>
                <c:pt idx="5">
                  <c:v>1</c:v>
                </c:pt>
                <c:pt idx="6">
                  <c:v>0.23076923076923078</c:v>
                </c:pt>
                <c:pt idx="7">
                  <c:v>1</c:v>
                </c:pt>
                <c:pt idx="8">
                  <c:v>0.125</c:v>
                </c:pt>
                <c:pt idx="9">
                  <c:v>0.83333333333333337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40-4DA4-9AA5-6E8ED65F3C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12393223"/>
        <c:axId val="2112395271"/>
      </c:barChart>
      <c:catAx>
        <c:axId val="2112393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95271"/>
        <c:crosses val="autoZero"/>
        <c:auto val="1"/>
        <c:lblAlgn val="ctr"/>
        <c:lblOffset val="100"/>
        <c:noMultiLvlLbl val="0"/>
      </c:catAx>
      <c:valAx>
        <c:axId val="2112395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93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Emerging Technology Alignment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'Emerging Technology Alignment'!$G$31</c:f>
              <c:strCache>
                <c:ptCount val="1"/>
                <c:pt idx="0">
                  <c:v>Strict Alignment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'Emerging Technology Alignment'!$B$32:$B$37</c:f>
              <c:strCache>
                <c:ptCount val="6"/>
                <c:pt idx="0">
                  <c:v>Generative AI</c:v>
                </c:pt>
                <c:pt idx="1">
                  <c:v>Foundation Models</c:v>
                </c:pt>
                <c:pt idx="2">
                  <c:v>AI Engineering Tools</c:v>
                </c:pt>
                <c:pt idx="3">
                  <c:v>AI Development Frameworks</c:v>
                </c:pt>
                <c:pt idx="4">
                  <c:v>Model Deployment &amp; MLOps</c:v>
                </c:pt>
                <c:pt idx="5">
                  <c:v>Cloud AI Platforms</c:v>
                </c:pt>
              </c:strCache>
            </c:strRef>
          </c:cat>
          <c:val>
            <c:numRef>
              <c:f>'Emerging Technology Alignment'!$G$32:$G$37</c:f>
              <c:numCache>
                <c:formatCode>0.00%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6-40C5-8261-D37F60A8F23E}"/>
            </c:ext>
          </c:extLst>
        </c:ser>
        <c:ser>
          <c:idx val="1"/>
          <c:order val="1"/>
          <c:tx>
            <c:strRef>
              <c:f>'Emerging Technology Alignment'!$H$31</c:f>
              <c:strCache>
                <c:ptCount val="1"/>
                <c:pt idx="0">
                  <c:v>Broad Alignment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'Emerging Technology Alignment'!$B$32:$B$37</c:f>
              <c:strCache>
                <c:ptCount val="6"/>
                <c:pt idx="0">
                  <c:v>Generative AI</c:v>
                </c:pt>
                <c:pt idx="1">
                  <c:v>Foundation Models</c:v>
                </c:pt>
                <c:pt idx="2">
                  <c:v>AI Engineering Tools</c:v>
                </c:pt>
                <c:pt idx="3">
                  <c:v>AI Development Frameworks</c:v>
                </c:pt>
                <c:pt idx="4">
                  <c:v>Model Deployment &amp; MLOps</c:v>
                </c:pt>
                <c:pt idx="5">
                  <c:v>Cloud AI Platforms</c:v>
                </c:pt>
              </c:strCache>
            </c:strRef>
          </c:cat>
          <c:val>
            <c:numRef>
              <c:f>'Emerging Technology Alignment'!$H$32:$H$37</c:f>
              <c:numCache>
                <c:formatCode>0.00%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</c:v>
                </c:pt>
                <c:pt idx="3">
                  <c:v>0.33333333333333331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36-40C5-8261-D37F60A8F2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1435527"/>
        <c:axId val="1651439111"/>
      </c:barChart>
      <c:catAx>
        <c:axId val="1651435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39111"/>
        <c:crosses val="autoZero"/>
        <c:auto val="1"/>
        <c:lblAlgn val="ctr"/>
        <c:lblOffset val="100"/>
        <c:noMultiLvlLbl val="0"/>
      </c:catAx>
      <c:valAx>
        <c:axId val="16514391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3552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Emerging Technology Coverage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'Emerging Technology Alignment'!$D$31</c:f>
              <c:strCache>
                <c:ptCount val="1"/>
                <c:pt idx="0">
                  <c:v>Covered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'Emerging Technology Alignment'!$B$32:$B$37</c:f>
              <c:strCache>
                <c:ptCount val="6"/>
                <c:pt idx="0">
                  <c:v>Generative AI</c:v>
                </c:pt>
                <c:pt idx="1">
                  <c:v>Foundation Models</c:v>
                </c:pt>
                <c:pt idx="2">
                  <c:v>AI Engineering Tools</c:v>
                </c:pt>
                <c:pt idx="3">
                  <c:v>AI Development Frameworks</c:v>
                </c:pt>
                <c:pt idx="4">
                  <c:v>Model Deployment &amp; MLOps</c:v>
                </c:pt>
                <c:pt idx="5">
                  <c:v>Cloud AI Platforms</c:v>
                </c:pt>
              </c:strCache>
            </c:strRef>
          </c:cat>
          <c:val>
            <c:numRef>
              <c:f>'Emerging Technology Alignment'!$D$32:$D$37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1-4871-8A95-D4E20317BC2F}"/>
            </c:ext>
          </c:extLst>
        </c:ser>
        <c:ser>
          <c:idx val="1"/>
          <c:order val="1"/>
          <c:tx>
            <c:strRef>
              <c:f>'Emerging Technology Alignment'!$E$31</c:f>
              <c:strCache>
                <c:ptCount val="1"/>
                <c:pt idx="0">
                  <c:v>Partially Covered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'Emerging Technology Alignment'!$B$32:$B$37</c:f>
              <c:strCache>
                <c:ptCount val="6"/>
                <c:pt idx="0">
                  <c:v>Generative AI</c:v>
                </c:pt>
                <c:pt idx="1">
                  <c:v>Foundation Models</c:v>
                </c:pt>
                <c:pt idx="2">
                  <c:v>AI Engineering Tools</c:v>
                </c:pt>
                <c:pt idx="3">
                  <c:v>AI Development Frameworks</c:v>
                </c:pt>
                <c:pt idx="4">
                  <c:v>Model Deployment &amp; MLOps</c:v>
                </c:pt>
                <c:pt idx="5">
                  <c:v>Cloud AI Platforms</c:v>
                </c:pt>
              </c:strCache>
            </c:strRef>
          </c:cat>
          <c:val>
            <c:numRef>
              <c:f>'Emerging Technology Alignment'!$E$32:$E$37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91-4871-8A95-D4E20317BC2F}"/>
            </c:ext>
          </c:extLst>
        </c:ser>
        <c:ser>
          <c:idx val="2"/>
          <c:order val="2"/>
          <c:tx>
            <c:strRef>
              <c:f>'Emerging Technology Alignment'!$F$31</c:f>
              <c:strCache>
                <c:ptCount val="1"/>
                <c:pt idx="0">
                  <c:v>Industry Only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'Emerging Technology Alignment'!$B$32:$B$37</c:f>
              <c:strCache>
                <c:ptCount val="6"/>
                <c:pt idx="0">
                  <c:v>Generative AI</c:v>
                </c:pt>
                <c:pt idx="1">
                  <c:v>Foundation Models</c:v>
                </c:pt>
                <c:pt idx="2">
                  <c:v>AI Engineering Tools</c:v>
                </c:pt>
                <c:pt idx="3">
                  <c:v>AI Development Frameworks</c:v>
                </c:pt>
                <c:pt idx="4">
                  <c:v>Model Deployment &amp; MLOps</c:v>
                </c:pt>
                <c:pt idx="5">
                  <c:v>Cloud AI Platforms</c:v>
                </c:pt>
              </c:strCache>
            </c:strRef>
          </c:cat>
          <c:val>
            <c:numRef>
              <c:f>'Emerging Technology Alignment'!$F$32:$F$37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91-4871-8A95-D4E20317BC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8779271"/>
        <c:axId val="1648781831"/>
      </c:barChart>
      <c:catAx>
        <c:axId val="1648779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781831"/>
        <c:crosses val="autoZero"/>
        <c:auto val="1"/>
        <c:lblAlgn val="ctr"/>
        <c:lblOffset val="100"/>
        <c:noMultiLvlLbl val="0"/>
      </c:catAx>
      <c:valAx>
        <c:axId val="164878183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77927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Industry–Curriculum Rank Alignment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 Difference'!$F$93</c:f>
              <c:strCache>
                <c:ptCount val="1"/>
                <c:pt idx="0">
                  <c:v>Number of Skills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 Difference'!$E$94:$E$96</c:f>
              <c:strCache>
                <c:ptCount val="3"/>
                <c:pt idx="0">
                  <c:v>Curriculum Lags</c:v>
                </c:pt>
                <c:pt idx="1">
                  <c:v>Curriculum Leads</c:v>
                </c:pt>
                <c:pt idx="2">
                  <c:v>Aligned</c:v>
                </c:pt>
              </c:strCache>
            </c:strRef>
          </c:cat>
          <c:val>
            <c:numRef>
              <c:f>'Rank Difference'!$F$94:$F$96</c:f>
              <c:numCache>
                <c:formatCode>General</c:formatCode>
                <c:ptCount val="3"/>
                <c:pt idx="0">
                  <c:v>16</c:v>
                </c:pt>
                <c:pt idx="1">
                  <c:v>29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6-4923-8202-3618EB7A3D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0742791"/>
        <c:axId val="1620760583"/>
      </c:barChart>
      <c:catAx>
        <c:axId val="1610742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760583"/>
        <c:crosses val="autoZero"/>
        <c:auto val="1"/>
        <c:lblAlgn val="ctr"/>
        <c:lblOffset val="100"/>
        <c:noMultiLvlLbl val="0"/>
      </c:catAx>
      <c:valAx>
        <c:axId val="1620760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742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106</xdr:row>
      <xdr:rowOff>0</xdr:rowOff>
    </xdr:from>
    <xdr:to>
      <xdr:col>7</xdr:col>
      <xdr:colOff>9525</xdr:colOff>
      <xdr:row>125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C35AE7-3F29-B8B4-1ADE-F96CCBAB4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323850</xdr:colOff>
      <xdr:row>106</xdr:row>
      <xdr:rowOff>0</xdr:rowOff>
    </xdr:from>
    <xdr:to>
      <xdr:col>16</xdr:col>
      <xdr:colOff>419100</xdr:colOff>
      <xdr:row>125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1B756C-6FFB-F38D-A7C6-1899B9F30CFB}"/>
            </a:ext>
            <a:ext uri="{147F2762-F138-4A5C-976F-8EAC2B608ADB}">
              <a16:predDERef xmlns:a16="http://schemas.microsoft.com/office/drawing/2014/main" pred="{B0C35AE7-3F29-B8B4-1ADE-F96CCBAB4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35</xdr:row>
      <xdr:rowOff>95250</xdr:rowOff>
    </xdr:from>
    <xdr:to>
      <xdr:col>8</xdr:col>
      <xdr:colOff>457200</xdr:colOff>
      <xdr:row>52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0D5C3-69B0-7041-F150-7061E52B3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428625</xdr:colOff>
      <xdr:row>35</xdr:row>
      <xdr:rowOff>104775</xdr:rowOff>
    </xdr:from>
    <xdr:to>
      <xdr:col>19</xdr:col>
      <xdr:colOff>47625</xdr:colOff>
      <xdr:row>52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99F311-008E-F3FB-3ED5-3CCB2C6E450C}"/>
            </a:ext>
            <a:ext uri="{147F2762-F138-4A5C-976F-8EAC2B608ADB}">
              <a16:predDERef xmlns:a16="http://schemas.microsoft.com/office/drawing/2014/main" pred="{2A40D5C3-69B0-7041-F150-7061E52B3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342900</xdr:colOff>
      <xdr:row>27</xdr:row>
      <xdr:rowOff>161925</xdr:rowOff>
    </xdr:from>
    <xdr:to>
      <xdr:col>29</xdr:col>
      <xdr:colOff>600075</xdr:colOff>
      <xdr:row>56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3E8971-6301-5A32-3797-965D7C0C6658}"/>
            </a:ext>
            <a:ext uri="{147F2762-F138-4A5C-976F-8EAC2B608ADB}">
              <a16:predDERef xmlns:a16="http://schemas.microsoft.com/office/drawing/2014/main" pred="{7699F311-008E-F3FB-3ED5-3CCB2C6E4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20</xdr:row>
      <xdr:rowOff>114300</xdr:rowOff>
    </xdr:from>
    <xdr:to>
      <xdr:col>13</xdr:col>
      <xdr:colOff>390525</xdr:colOff>
      <xdr:row>38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991F8-6F09-3031-9BE0-CEE715345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54</xdr:row>
      <xdr:rowOff>152400</xdr:rowOff>
    </xdr:from>
    <xdr:to>
      <xdr:col>7</xdr:col>
      <xdr:colOff>1295400</xdr:colOff>
      <xdr:row>82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E09FDD-2889-84EA-DBA0-886B45D30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85</xdr:row>
      <xdr:rowOff>161925</xdr:rowOff>
    </xdr:from>
    <xdr:to>
      <xdr:col>6</xdr:col>
      <xdr:colOff>476250</xdr:colOff>
      <xdr:row>109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85532C-E352-5BDC-5614-C5A8E704969F}"/>
            </a:ext>
            <a:ext uri="{147F2762-F138-4A5C-976F-8EAC2B608ADB}">
              <a16:predDERef xmlns:a16="http://schemas.microsoft.com/office/drawing/2014/main" pred="{11E09FDD-2889-84EA-DBA0-886B45D30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92</xdr:row>
      <xdr:rowOff>76200</xdr:rowOff>
    </xdr:from>
    <xdr:to>
      <xdr:col>14</xdr:col>
      <xdr:colOff>304800</xdr:colOff>
      <xdr:row>108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7C79D0-4138-E110-2BAC-7AEB6AC5E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542925</xdr:colOff>
      <xdr:row>111</xdr:row>
      <xdr:rowOff>47625</xdr:rowOff>
    </xdr:from>
    <xdr:to>
      <xdr:col>22</xdr:col>
      <xdr:colOff>228600</xdr:colOff>
      <xdr:row>130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82A1F0-3F7B-F07A-8F53-EAA1566BDBFF}"/>
            </a:ext>
            <a:ext uri="{147F2762-F138-4A5C-976F-8EAC2B608ADB}">
              <a16:predDERef xmlns:a16="http://schemas.microsoft.com/office/drawing/2014/main" pred="{047C79D0-4138-E110-2BAC-7AEB6AC5E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285750</xdr:colOff>
      <xdr:row>135</xdr:row>
      <xdr:rowOff>171450</xdr:rowOff>
    </xdr:from>
    <xdr:to>
      <xdr:col>19</xdr:col>
      <xdr:colOff>400050</xdr:colOff>
      <xdr:row>168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A0D449-DD7B-0154-E4E4-F59AAA773986}"/>
            </a:ext>
            <a:ext uri="{147F2762-F138-4A5C-976F-8EAC2B608ADB}">
              <a16:predDERef xmlns:a16="http://schemas.microsoft.com/office/drawing/2014/main" pred="{7582A1F0-3F7B-F07A-8F53-EAA1566BD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39</xdr:row>
      <xdr:rowOff>180975</xdr:rowOff>
    </xdr:from>
    <xdr:to>
      <xdr:col>7</xdr:col>
      <xdr:colOff>647700</xdr:colOff>
      <xdr:row>65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6694B-744F-FF98-6AC8-0FF92C935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1504950</xdr:colOff>
      <xdr:row>39</xdr:row>
      <xdr:rowOff>142875</xdr:rowOff>
    </xdr:from>
    <xdr:to>
      <xdr:col>12</xdr:col>
      <xdr:colOff>981075</xdr:colOff>
      <xdr:row>65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04CC00-0E69-7742-0ED7-1A56F70D0982}"/>
            </a:ext>
            <a:ext uri="{147F2762-F138-4A5C-976F-8EAC2B608ADB}">
              <a16:predDERef xmlns:a16="http://schemas.microsoft.com/office/drawing/2014/main" pred="{C076694B-744F-FF98-6AC8-0FF92C935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866775</xdr:colOff>
      <xdr:row>87</xdr:row>
      <xdr:rowOff>57150</xdr:rowOff>
    </xdr:from>
    <xdr:to>
      <xdr:col>6</xdr:col>
      <xdr:colOff>971550</xdr:colOff>
      <xdr:row>101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40867D-4D48-375C-4C93-FA5D17B16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workbookViewId="0">
      <selection activeCell="C2" sqref="C2"/>
    </sheetView>
  </sheetViews>
  <sheetFormatPr defaultRowHeight="15"/>
  <cols>
    <col min="2" max="2" width="37.85546875" customWidth="1"/>
    <col min="3" max="3" width="22" customWidth="1"/>
    <col min="4" max="4" width="22.7109375" customWidth="1"/>
    <col min="5" max="5" width="34.28515625" customWidth="1"/>
    <col min="6" max="6" width="23.85546875" customWidth="1"/>
    <col min="7" max="7" width="31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s="40">
        <v>117</v>
      </c>
      <c r="D2" s="40">
        <f t="shared" ref="D2:D65" si="0">(C2/130)*100</f>
        <v>90</v>
      </c>
      <c r="E2" s="40">
        <v>13</v>
      </c>
      <c r="F2" t="s">
        <v>8</v>
      </c>
      <c r="G2" s="40" t="s">
        <v>9</v>
      </c>
    </row>
    <row r="3" spans="1:7">
      <c r="A3">
        <v>2</v>
      </c>
      <c r="B3" t="s">
        <v>10</v>
      </c>
      <c r="C3" s="40">
        <v>110</v>
      </c>
      <c r="D3" s="2">
        <f t="shared" si="0"/>
        <v>84.615384615384613</v>
      </c>
      <c r="E3" s="40">
        <v>12</v>
      </c>
      <c r="F3" t="s">
        <v>11</v>
      </c>
      <c r="G3" s="40" t="s">
        <v>12</v>
      </c>
    </row>
    <row r="4" spans="1:7">
      <c r="A4">
        <v>3</v>
      </c>
      <c r="B4" t="s">
        <v>13</v>
      </c>
      <c r="C4" s="40">
        <v>107</v>
      </c>
      <c r="D4" s="2">
        <f t="shared" si="0"/>
        <v>82.307692307692307</v>
      </c>
      <c r="E4" s="40">
        <v>13</v>
      </c>
      <c r="F4" t="s">
        <v>8</v>
      </c>
      <c r="G4" s="40" t="s">
        <v>13</v>
      </c>
    </row>
    <row r="5" spans="1:7">
      <c r="A5">
        <v>4</v>
      </c>
      <c r="B5" t="s">
        <v>14</v>
      </c>
      <c r="C5" s="40">
        <v>100</v>
      </c>
      <c r="D5" s="2">
        <f t="shared" si="0"/>
        <v>76.923076923076934</v>
      </c>
      <c r="E5" s="40">
        <v>12</v>
      </c>
      <c r="F5" t="s">
        <v>15</v>
      </c>
      <c r="G5" s="40" t="s">
        <v>12</v>
      </c>
    </row>
    <row r="6" spans="1:7">
      <c r="A6">
        <v>5</v>
      </c>
      <c r="B6" t="s">
        <v>16</v>
      </c>
      <c r="C6" s="40">
        <v>69</v>
      </c>
      <c r="D6" s="2">
        <f t="shared" si="0"/>
        <v>53.07692307692308</v>
      </c>
      <c r="E6" s="40">
        <v>13</v>
      </c>
      <c r="F6" t="s">
        <v>8</v>
      </c>
      <c r="G6" s="40" t="s">
        <v>17</v>
      </c>
    </row>
    <row r="7" spans="1:7">
      <c r="A7">
        <v>6</v>
      </c>
      <c r="B7" t="s">
        <v>18</v>
      </c>
      <c r="C7" s="40">
        <v>63</v>
      </c>
      <c r="D7" s="2">
        <f t="shared" si="0"/>
        <v>48.46153846153846</v>
      </c>
      <c r="E7" s="40">
        <v>13</v>
      </c>
      <c r="F7" t="s">
        <v>19</v>
      </c>
      <c r="G7" s="40" t="s">
        <v>20</v>
      </c>
    </row>
    <row r="8" spans="1:7">
      <c r="A8">
        <v>7</v>
      </c>
      <c r="B8" t="s">
        <v>21</v>
      </c>
      <c r="C8" s="40">
        <v>62</v>
      </c>
      <c r="D8" s="2">
        <f t="shared" si="0"/>
        <v>47.692307692307693</v>
      </c>
      <c r="E8" s="40">
        <v>12</v>
      </c>
      <c r="F8" t="s">
        <v>22</v>
      </c>
      <c r="G8" s="40" t="s">
        <v>13</v>
      </c>
    </row>
    <row r="9" spans="1:7">
      <c r="A9">
        <v>8</v>
      </c>
      <c r="B9" t="s">
        <v>23</v>
      </c>
      <c r="C9" s="40">
        <v>62</v>
      </c>
      <c r="D9" s="2">
        <f t="shared" si="0"/>
        <v>47.692307692307693</v>
      </c>
      <c r="E9" s="40">
        <v>10</v>
      </c>
      <c r="F9" t="s">
        <v>24</v>
      </c>
      <c r="G9" s="40" t="s">
        <v>25</v>
      </c>
    </row>
    <row r="10" spans="1:7">
      <c r="A10">
        <v>9</v>
      </c>
      <c r="B10" t="s">
        <v>26</v>
      </c>
      <c r="C10" s="40">
        <v>48</v>
      </c>
      <c r="D10" s="2">
        <f t="shared" si="0"/>
        <v>36.923076923076927</v>
      </c>
      <c r="E10" s="40">
        <v>11</v>
      </c>
      <c r="F10" t="s">
        <v>27</v>
      </c>
      <c r="G10" s="40" t="s">
        <v>28</v>
      </c>
    </row>
    <row r="11" spans="1:7">
      <c r="A11">
        <v>10</v>
      </c>
      <c r="B11" t="s">
        <v>29</v>
      </c>
      <c r="C11" s="40">
        <v>45</v>
      </c>
      <c r="D11" s="2">
        <f t="shared" si="0"/>
        <v>34.615384615384613</v>
      </c>
      <c r="E11" s="40">
        <v>10</v>
      </c>
      <c r="F11" t="s">
        <v>30</v>
      </c>
      <c r="G11" s="40" t="s">
        <v>28</v>
      </c>
    </row>
    <row r="12" spans="1:7">
      <c r="A12">
        <v>11</v>
      </c>
      <c r="B12" t="s">
        <v>31</v>
      </c>
      <c r="C12" s="40">
        <v>44</v>
      </c>
      <c r="D12" s="2">
        <f t="shared" si="0"/>
        <v>33.846153846153847</v>
      </c>
      <c r="E12" s="40">
        <v>11</v>
      </c>
      <c r="F12" t="s">
        <v>32</v>
      </c>
      <c r="G12" s="40" t="s">
        <v>33</v>
      </c>
    </row>
    <row r="13" spans="1:7">
      <c r="A13">
        <v>12</v>
      </c>
      <c r="B13" t="s">
        <v>34</v>
      </c>
      <c r="C13" s="40">
        <v>42</v>
      </c>
      <c r="D13" s="2">
        <f t="shared" si="0"/>
        <v>32.307692307692307</v>
      </c>
      <c r="E13" s="40">
        <v>10</v>
      </c>
      <c r="F13" t="s">
        <v>35</v>
      </c>
      <c r="G13" s="40" t="s">
        <v>33</v>
      </c>
    </row>
    <row r="14" spans="1:7">
      <c r="A14">
        <v>13</v>
      </c>
      <c r="B14" t="s">
        <v>36</v>
      </c>
      <c r="C14" s="40">
        <v>39</v>
      </c>
      <c r="D14" s="2">
        <f t="shared" si="0"/>
        <v>30</v>
      </c>
      <c r="E14" s="40">
        <v>10</v>
      </c>
      <c r="F14" t="s">
        <v>37</v>
      </c>
      <c r="G14" s="40" t="s">
        <v>38</v>
      </c>
    </row>
    <row r="15" spans="1:7">
      <c r="A15">
        <v>14</v>
      </c>
      <c r="B15" t="s">
        <v>39</v>
      </c>
      <c r="C15" s="40">
        <v>39</v>
      </c>
      <c r="D15" s="2">
        <f t="shared" si="0"/>
        <v>30</v>
      </c>
      <c r="E15" s="40">
        <v>10</v>
      </c>
      <c r="F15" t="s">
        <v>40</v>
      </c>
      <c r="G15" s="40" t="s">
        <v>28</v>
      </c>
    </row>
    <row r="16" spans="1:7">
      <c r="A16">
        <v>15</v>
      </c>
      <c r="B16" t="s">
        <v>33</v>
      </c>
      <c r="C16" s="40">
        <v>38</v>
      </c>
      <c r="D16" s="2">
        <f t="shared" si="0"/>
        <v>29.230769230769234</v>
      </c>
      <c r="E16" s="40">
        <v>10</v>
      </c>
      <c r="F16" t="s">
        <v>41</v>
      </c>
      <c r="G16" s="40" t="s">
        <v>33</v>
      </c>
    </row>
    <row r="17" spans="1:7">
      <c r="A17">
        <v>16</v>
      </c>
      <c r="B17" t="s">
        <v>42</v>
      </c>
      <c r="C17" s="40">
        <v>31</v>
      </c>
      <c r="D17" s="2">
        <f t="shared" si="0"/>
        <v>23.846153846153847</v>
      </c>
      <c r="E17" s="40">
        <v>9</v>
      </c>
      <c r="F17" t="s">
        <v>43</v>
      </c>
      <c r="G17" s="40" t="s">
        <v>13</v>
      </c>
    </row>
    <row r="18" spans="1:7">
      <c r="A18">
        <v>17</v>
      </c>
      <c r="B18" t="s">
        <v>44</v>
      </c>
      <c r="C18" s="40">
        <v>28</v>
      </c>
      <c r="D18" s="2">
        <f t="shared" si="0"/>
        <v>21.53846153846154</v>
      </c>
      <c r="E18" s="40">
        <v>8</v>
      </c>
      <c r="F18" t="s">
        <v>45</v>
      </c>
      <c r="G18" s="40" t="s">
        <v>28</v>
      </c>
    </row>
    <row r="19" spans="1:7">
      <c r="A19">
        <v>18</v>
      </c>
      <c r="B19" t="s">
        <v>46</v>
      </c>
      <c r="C19" s="40">
        <v>25</v>
      </c>
      <c r="D19" s="2">
        <f t="shared" si="0"/>
        <v>19.230769230769234</v>
      </c>
      <c r="E19" s="40">
        <v>7</v>
      </c>
      <c r="F19" t="s">
        <v>47</v>
      </c>
      <c r="G19" s="40" t="s">
        <v>20</v>
      </c>
    </row>
    <row r="20" spans="1:7">
      <c r="A20">
        <v>19</v>
      </c>
      <c r="B20" t="s">
        <v>48</v>
      </c>
      <c r="C20" s="40">
        <v>24</v>
      </c>
      <c r="D20" s="2">
        <f t="shared" si="0"/>
        <v>18.461538461538463</v>
      </c>
      <c r="E20" s="40">
        <v>8</v>
      </c>
      <c r="F20" t="s">
        <v>49</v>
      </c>
      <c r="G20" s="40" t="s">
        <v>20</v>
      </c>
    </row>
    <row r="21" spans="1:7">
      <c r="A21">
        <v>20</v>
      </c>
      <c r="B21" t="s">
        <v>50</v>
      </c>
      <c r="C21" s="40">
        <v>18</v>
      </c>
      <c r="D21" s="2">
        <f t="shared" si="0"/>
        <v>13.846153846153847</v>
      </c>
      <c r="E21" s="40">
        <v>6</v>
      </c>
      <c r="F21" t="s">
        <v>51</v>
      </c>
      <c r="G21" s="40" t="s">
        <v>25</v>
      </c>
    </row>
    <row r="22" spans="1:7">
      <c r="A22">
        <v>21</v>
      </c>
      <c r="B22" t="s">
        <v>52</v>
      </c>
      <c r="C22" s="40">
        <v>15</v>
      </c>
      <c r="D22" s="2">
        <f t="shared" si="0"/>
        <v>11.538461538461538</v>
      </c>
      <c r="E22" s="40">
        <v>5</v>
      </c>
      <c r="F22" t="s">
        <v>53</v>
      </c>
      <c r="G22" s="40" t="s">
        <v>28</v>
      </c>
    </row>
    <row r="23" spans="1:7">
      <c r="A23">
        <v>22</v>
      </c>
      <c r="B23" t="s">
        <v>54</v>
      </c>
      <c r="C23" s="40">
        <v>15</v>
      </c>
      <c r="D23" s="2">
        <f t="shared" si="0"/>
        <v>11.538461538461538</v>
      </c>
      <c r="E23" s="40">
        <v>4</v>
      </c>
      <c r="F23" t="s">
        <v>55</v>
      </c>
      <c r="G23" s="40" t="s">
        <v>25</v>
      </c>
    </row>
    <row r="24" spans="1:7">
      <c r="A24">
        <v>23</v>
      </c>
      <c r="B24" t="s">
        <v>56</v>
      </c>
      <c r="C24" s="40">
        <v>14</v>
      </c>
      <c r="D24" s="2">
        <f t="shared" si="0"/>
        <v>10.76923076923077</v>
      </c>
      <c r="E24" s="40">
        <v>3</v>
      </c>
      <c r="F24" t="s">
        <v>57</v>
      </c>
      <c r="G24" s="40" t="s">
        <v>38</v>
      </c>
    </row>
    <row r="25" spans="1:7">
      <c r="A25">
        <v>24</v>
      </c>
      <c r="B25" t="s">
        <v>58</v>
      </c>
      <c r="C25" s="40">
        <v>14</v>
      </c>
      <c r="D25" s="2">
        <f t="shared" si="0"/>
        <v>10.76923076923077</v>
      </c>
      <c r="E25" s="40">
        <v>4</v>
      </c>
      <c r="F25" t="s">
        <v>59</v>
      </c>
      <c r="G25" s="40" t="s">
        <v>25</v>
      </c>
    </row>
    <row r="26" spans="1:7">
      <c r="A26">
        <v>25</v>
      </c>
      <c r="B26" t="s">
        <v>60</v>
      </c>
      <c r="C26" s="40">
        <v>12</v>
      </c>
      <c r="D26" s="2">
        <f t="shared" si="0"/>
        <v>9.2307692307692317</v>
      </c>
      <c r="E26" s="40">
        <v>4</v>
      </c>
      <c r="F26" t="s">
        <v>61</v>
      </c>
      <c r="G26" s="40" t="s">
        <v>62</v>
      </c>
    </row>
    <row r="27" spans="1:7">
      <c r="A27">
        <v>26</v>
      </c>
      <c r="B27" t="s">
        <v>63</v>
      </c>
      <c r="C27" s="40">
        <v>11</v>
      </c>
      <c r="D27" s="2">
        <f t="shared" si="0"/>
        <v>8.4615384615384617</v>
      </c>
      <c r="E27" s="40">
        <v>6</v>
      </c>
      <c r="F27" t="s">
        <v>64</v>
      </c>
      <c r="G27" s="40" t="s">
        <v>28</v>
      </c>
    </row>
    <row r="28" spans="1:7">
      <c r="A28">
        <v>27</v>
      </c>
      <c r="B28" t="s">
        <v>65</v>
      </c>
      <c r="C28" s="40">
        <v>11</v>
      </c>
      <c r="D28" s="2">
        <f t="shared" si="0"/>
        <v>8.4615384615384617</v>
      </c>
      <c r="E28" s="40">
        <v>4</v>
      </c>
      <c r="F28" t="s">
        <v>66</v>
      </c>
      <c r="G28" s="40" t="s">
        <v>67</v>
      </c>
    </row>
    <row r="29" spans="1:7">
      <c r="A29">
        <v>28</v>
      </c>
      <c r="B29" t="s">
        <v>68</v>
      </c>
      <c r="C29" s="40">
        <v>11</v>
      </c>
      <c r="D29" s="2">
        <f t="shared" si="0"/>
        <v>8.4615384615384617</v>
      </c>
      <c r="E29" s="40">
        <v>4</v>
      </c>
      <c r="F29" t="s">
        <v>69</v>
      </c>
      <c r="G29" s="40" t="s">
        <v>25</v>
      </c>
    </row>
    <row r="30" spans="1:7">
      <c r="A30">
        <v>29</v>
      </c>
      <c r="B30" t="s">
        <v>70</v>
      </c>
      <c r="C30" s="40">
        <v>11</v>
      </c>
      <c r="D30" s="2">
        <f t="shared" si="0"/>
        <v>8.4615384615384617</v>
      </c>
      <c r="E30" s="40">
        <v>4</v>
      </c>
      <c r="F30" t="s">
        <v>71</v>
      </c>
      <c r="G30" s="40" t="s">
        <v>28</v>
      </c>
    </row>
    <row r="31" spans="1:7">
      <c r="A31">
        <v>30</v>
      </c>
      <c r="B31" t="s">
        <v>72</v>
      </c>
      <c r="C31" s="40">
        <v>10</v>
      </c>
      <c r="D31" s="2">
        <f t="shared" si="0"/>
        <v>7.6923076923076925</v>
      </c>
      <c r="E31" s="40">
        <v>3</v>
      </c>
      <c r="F31" t="s">
        <v>73</v>
      </c>
      <c r="G31" s="40" t="s">
        <v>9</v>
      </c>
    </row>
    <row r="32" spans="1:7">
      <c r="A32">
        <v>31</v>
      </c>
      <c r="B32" t="s">
        <v>74</v>
      </c>
      <c r="C32" s="40">
        <v>9</v>
      </c>
      <c r="D32" s="2">
        <f t="shared" si="0"/>
        <v>6.9230769230769234</v>
      </c>
      <c r="E32" s="40">
        <v>3</v>
      </c>
      <c r="F32" t="s">
        <v>75</v>
      </c>
      <c r="G32" s="40" t="s">
        <v>28</v>
      </c>
    </row>
    <row r="33" spans="1:7">
      <c r="A33">
        <v>32</v>
      </c>
      <c r="B33" t="s">
        <v>76</v>
      </c>
      <c r="C33" s="40">
        <v>8</v>
      </c>
      <c r="D33" s="2">
        <f t="shared" si="0"/>
        <v>6.1538461538461542</v>
      </c>
      <c r="E33" s="40">
        <v>3</v>
      </c>
      <c r="F33" t="s">
        <v>77</v>
      </c>
      <c r="G33" s="40" t="s">
        <v>13</v>
      </c>
    </row>
    <row r="34" spans="1:7">
      <c r="A34">
        <v>33</v>
      </c>
      <c r="B34" t="s">
        <v>78</v>
      </c>
      <c r="C34" s="40">
        <v>8</v>
      </c>
      <c r="D34" s="2">
        <f t="shared" si="0"/>
        <v>6.1538461538461542</v>
      </c>
      <c r="E34" s="40">
        <v>1</v>
      </c>
      <c r="F34" t="s">
        <v>79</v>
      </c>
      <c r="G34" s="40" t="s">
        <v>12</v>
      </c>
    </row>
    <row r="35" spans="1:7">
      <c r="A35">
        <v>34</v>
      </c>
      <c r="B35" t="s">
        <v>80</v>
      </c>
      <c r="C35" s="40">
        <v>8</v>
      </c>
      <c r="D35" s="2">
        <f t="shared" si="0"/>
        <v>6.1538461538461542</v>
      </c>
      <c r="E35" s="40">
        <v>3</v>
      </c>
      <c r="F35" t="s">
        <v>81</v>
      </c>
      <c r="G35" s="40" t="s">
        <v>20</v>
      </c>
    </row>
    <row r="36" spans="1:7">
      <c r="A36">
        <v>35</v>
      </c>
      <c r="B36" t="s">
        <v>82</v>
      </c>
      <c r="C36" s="40">
        <v>8</v>
      </c>
      <c r="D36" s="2">
        <f t="shared" si="0"/>
        <v>6.1538461538461542</v>
      </c>
      <c r="E36" s="40">
        <v>2</v>
      </c>
      <c r="F36" t="s">
        <v>83</v>
      </c>
      <c r="G36" s="40" t="s">
        <v>67</v>
      </c>
    </row>
    <row r="37" spans="1:7">
      <c r="A37">
        <v>36</v>
      </c>
      <c r="B37" t="s">
        <v>84</v>
      </c>
      <c r="C37" s="40">
        <v>8</v>
      </c>
      <c r="D37" s="2">
        <f t="shared" si="0"/>
        <v>6.1538461538461542</v>
      </c>
      <c r="E37" s="40">
        <v>4</v>
      </c>
      <c r="F37" t="s">
        <v>85</v>
      </c>
      <c r="G37" s="40" t="s">
        <v>25</v>
      </c>
    </row>
    <row r="38" spans="1:7">
      <c r="A38">
        <v>37</v>
      </c>
      <c r="B38" t="s">
        <v>86</v>
      </c>
      <c r="C38" s="40">
        <v>7</v>
      </c>
      <c r="D38" s="2">
        <f t="shared" si="0"/>
        <v>5.384615384615385</v>
      </c>
      <c r="E38" s="40">
        <v>3</v>
      </c>
      <c r="F38" t="s">
        <v>87</v>
      </c>
      <c r="G38" s="40" t="s">
        <v>67</v>
      </c>
    </row>
    <row r="39" spans="1:7">
      <c r="A39">
        <v>38</v>
      </c>
      <c r="B39" t="s">
        <v>88</v>
      </c>
      <c r="C39" s="40">
        <v>6</v>
      </c>
      <c r="D39" s="2">
        <f t="shared" si="0"/>
        <v>4.6153846153846159</v>
      </c>
      <c r="E39" s="40">
        <v>2</v>
      </c>
      <c r="F39" t="s">
        <v>89</v>
      </c>
      <c r="G39" s="40" t="s">
        <v>25</v>
      </c>
    </row>
    <row r="40" spans="1:7">
      <c r="A40">
        <v>39</v>
      </c>
      <c r="B40" t="s">
        <v>90</v>
      </c>
      <c r="C40" s="40">
        <v>5</v>
      </c>
      <c r="D40" s="2">
        <f t="shared" si="0"/>
        <v>3.8461538461538463</v>
      </c>
      <c r="E40" s="40">
        <v>2</v>
      </c>
      <c r="F40" t="s">
        <v>91</v>
      </c>
      <c r="G40" s="40" t="s">
        <v>67</v>
      </c>
    </row>
    <row r="41" spans="1:7">
      <c r="A41">
        <v>40</v>
      </c>
      <c r="B41" t="s">
        <v>92</v>
      </c>
      <c r="C41" s="40">
        <v>5</v>
      </c>
      <c r="D41" s="2">
        <f t="shared" si="0"/>
        <v>3.8461538461538463</v>
      </c>
      <c r="E41" s="40">
        <v>2</v>
      </c>
      <c r="F41" t="s">
        <v>93</v>
      </c>
      <c r="G41" s="40" t="s">
        <v>62</v>
      </c>
    </row>
    <row r="42" spans="1:7">
      <c r="A42">
        <v>41</v>
      </c>
      <c r="B42" t="s">
        <v>94</v>
      </c>
      <c r="C42" s="40">
        <v>4</v>
      </c>
      <c r="D42" s="2">
        <f t="shared" si="0"/>
        <v>3.0769230769230771</v>
      </c>
      <c r="E42" s="40">
        <v>1</v>
      </c>
      <c r="F42" t="s">
        <v>95</v>
      </c>
      <c r="G42" s="40" t="s">
        <v>94</v>
      </c>
    </row>
    <row r="43" spans="1:7">
      <c r="A43">
        <v>42</v>
      </c>
      <c r="B43" t="s">
        <v>96</v>
      </c>
      <c r="C43" s="40">
        <v>4</v>
      </c>
      <c r="D43" s="2">
        <f t="shared" si="0"/>
        <v>3.0769230769230771</v>
      </c>
      <c r="E43" s="40">
        <v>2</v>
      </c>
      <c r="F43" t="s">
        <v>97</v>
      </c>
      <c r="G43" s="40" t="s">
        <v>20</v>
      </c>
    </row>
    <row r="44" spans="1:7">
      <c r="A44">
        <v>43</v>
      </c>
      <c r="B44" t="s">
        <v>98</v>
      </c>
      <c r="C44" s="40">
        <v>4</v>
      </c>
      <c r="D44" s="2">
        <f t="shared" si="0"/>
        <v>3.0769230769230771</v>
      </c>
      <c r="E44" s="40">
        <v>1</v>
      </c>
      <c r="F44" t="s">
        <v>99</v>
      </c>
      <c r="G44" s="40" t="s">
        <v>100</v>
      </c>
    </row>
    <row r="45" spans="1:7">
      <c r="A45">
        <v>44</v>
      </c>
      <c r="B45" t="s">
        <v>101</v>
      </c>
      <c r="C45" s="40">
        <v>4</v>
      </c>
      <c r="D45" s="2">
        <f t="shared" si="0"/>
        <v>3.0769230769230771</v>
      </c>
      <c r="E45" s="40">
        <v>1</v>
      </c>
      <c r="F45" t="s">
        <v>102</v>
      </c>
      <c r="G45" s="40" t="s">
        <v>25</v>
      </c>
    </row>
    <row r="46" spans="1:7">
      <c r="A46">
        <v>45</v>
      </c>
      <c r="B46" t="s">
        <v>103</v>
      </c>
      <c r="C46" s="40">
        <v>4</v>
      </c>
      <c r="D46" s="2">
        <f t="shared" si="0"/>
        <v>3.0769230769230771</v>
      </c>
      <c r="E46" s="40">
        <v>2</v>
      </c>
      <c r="F46" t="s">
        <v>104</v>
      </c>
      <c r="G46" s="40" t="s">
        <v>28</v>
      </c>
    </row>
    <row r="47" spans="1:7">
      <c r="A47">
        <v>46</v>
      </c>
      <c r="B47" t="s">
        <v>105</v>
      </c>
      <c r="C47" s="40">
        <v>4</v>
      </c>
      <c r="D47" s="2">
        <f t="shared" si="0"/>
        <v>3.0769230769230771</v>
      </c>
      <c r="E47" s="40">
        <v>1</v>
      </c>
      <c r="F47" t="s">
        <v>79</v>
      </c>
      <c r="G47" s="40" t="s">
        <v>20</v>
      </c>
    </row>
    <row r="48" spans="1:7">
      <c r="A48">
        <v>47</v>
      </c>
      <c r="B48" t="s">
        <v>106</v>
      </c>
      <c r="C48" s="40">
        <v>4</v>
      </c>
      <c r="D48" s="2">
        <f t="shared" si="0"/>
        <v>3.0769230769230771</v>
      </c>
      <c r="E48" s="40">
        <v>1</v>
      </c>
      <c r="F48" t="s">
        <v>79</v>
      </c>
      <c r="G48" s="40" t="s">
        <v>13</v>
      </c>
    </row>
    <row r="49" spans="1:7">
      <c r="A49">
        <v>48</v>
      </c>
      <c r="B49" t="s">
        <v>107</v>
      </c>
      <c r="C49" s="40">
        <v>4</v>
      </c>
      <c r="D49" s="2">
        <f t="shared" si="0"/>
        <v>3.0769230769230771</v>
      </c>
      <c r="E49" s="40">
        <v>2</v>
      </c>
      <c r="F49" t="s">
        <v>108</v>
      </c>
      <c r="G49" s="40" t="s">
        <v>28</v>
      </c>
    </row>
    <row r="50" spans="1:7">
      <c r="A50">
        <v>49</v>
      </c>
      <c r="B50" t="s">
        <v>109</v>
      </c>
      <c r="C50" s="40">
        <v>4</v>
      </c>
      <c r="D50" s="2">
        <f t="shared" si="0"/>
        <v>3.0769230769230771</v>
      </c>
      <c r="E50" s="40">
        <v>1</v>
      </c>
      <c r="F50" t="s">
        <v>79</v>
      </c>
      <c r="G50" s="40" t="s">
        <v>13</v>
      </c>
    </row>
    <row r="51" spans="1:7">
      <c r="A51">
        <v>50</v>
      </c>
      <c r="B51" t="s">
        <v>110</v>
      </c>
      <c r="C51" s="40">
        <v>4</v>
      </c>
      <c r="D51" s="2">
        <f t="shared" si="0"/>
        <v>3.0769230769230771</v>
      </c>
      <c r="E51" s="40">
        <v>1</v>
      </c>
      <c r="F51" t="s">
        <v>111</v>
      </c>
      <c r="G51" s="40" t="s">
        <v>25</v>
      </c>
    </row>
    <row r="52" spans="1:7">
      <c r="A52">
        <v>51</v>
      </c>
      <c r="B52" t="s">
        <v>112</v>
      </c>
      <c r="C52" s="40">
        <v>4</v>
      </c>
      <c r="D52" s="2">
        <f t="shared" si="0"/>
        <v>3.0769230769230771</v>
      </c>
      <c r="E52" s="40">
        <v>1</v>
      </c>
      <c r="F52" t="s">
        <v>79</v>
      </c>
      <c r="G52" s="40" t="s">
        <v>13</v>
      </c>
    </row>
    <row r="53" spans="1:7">
      <c r="A53">
        <v>52</v>
      </c>
      <c r="B53" t="s">
        <v>113</v>
      </c>
      <c r="C53" s="40">
        <v>4</v>
      </c>
      <c r="D53" s="2">
        <f t="shared" si="0"/>
        <v>3.0769230769230771</v>
      </c>
      <c r="E53" s="40">
        <v>1</v>
      </c>
      <c r="F53" t="s">
        <v>79</v>
      </c>
      <c r="G53" s="40" t="s">
        <v>38</v>
      </c>
    </row>
    <row r="54" spans="1:7">
      <c r="A54">
        <v>53</v>
      </c>
      <c r="B54" t="s">
        <v>114</v>
      </c>
      <c r="C54" s="40">
        <v>3</v>
      </c>
      <c r="D54" s="2">
        <f t="shared" si="0"/>
        <v>2.3076923076923079</v>
      </c>
      <c r="E54" s="40">
        <v>2</v>
      </c>
      <c r="F54" t="s">
        <v>108</v>
      </c>
      <c r="G54" s="40" t="s">
        <v>28</v>
      </c>
    </row>
    <row r="55" spans="1:7">
      <c r="A55">
        <v>54</v>
      </c>
      <c r="B55" t="s">
        <v>115</v>
      </c>
      <c r="C55" s="40">
        <v>3</v>
      </c>
      <c r="D55" s="2">
        <f t="shared" si="0"/>
        <v>2.3076923076923079</v>
      </c>
      <c r="E55" s="40">
        <v>1</v>
      </c>
      <c r="F55" t="s">
        <v>99</v>
      </c>
      <c r="G55" s="40" t="s">
        <v>28</v>
      </c>
    </row>
    <row r="56" spans="1:7">
      <c r="A56">
        <v>55</v>
      </c>
      <c r="B56" t="s">
        <v>116</v>
      </c>
      <c r="C56" s="40">
        <v>3</v>
      </c>
      <c r="D56" s="2">
        <f t="shared" si="0"/>
        <v>2.3076923076923079</v>
      </c>
      <c r="E56" s="40">
        <v>1</v>
      </c>
      <c r="F56" t="s">
        <v>117</v>
      </c>
      <c r="G56" s="40" t="s">
        <v>100</v>
      </c>
    </row>
    <row r="57" spans="1:7">
      <c r="A57">
        <v>56</v>
      </c>
      <c r="B57" t="s">
        <v>118</v>
      </c>
      <c r="C57" s="40">
        <v>3</v>
      </c>
      <c r="D57" s="2">
        <f t="shared" si="0"/>
        <v>2.3076923076923079</v>
      </c>
      <c r="E57" s="40">
        <v>1</v>
      </c>
      <c r="F57" t="s">
        <v>99</v>
      </c>
      <c r="G57" s="40" t="s">
        <v>100</v>
      </c>
    </row>
    <row r="58" spans="1:7">
      <c r="A58">
        <v>57</v>
      </c>
      <c r="B58" t="s">
        <v>119</v>
      </c>
      <c r="C58" s="40">
        <v>3</v>
      </c>
      <c r="D58" s="2">
        <f t="shared" si="0"/>
        <v>2.3076923076923079</v>
      </c>
      <c r="E58" s="40">
        <v>1</v>
      </c>
      <c r="F58" t="s">
        <v>117</v>
      </c>
      <c r="G58" s="40" t="s">
        <v>17</v>
      </c>
    </row>
    <row r="59" spans="1:7">
      <c r="A59">
        <v>58</v>
      </c>
      <c r="B59" t="s">
        <v>120</v>
      </c>
      <c r="C59" s="40">
        <v>3</v>
      </c>
      <c r="D59" s="2">
        <f t="shared" si="0"/>
        <v>2.3076923076923079</v>
      </c>
      <c r="E59" s="40">
        <v>1</v>
      </c>
      <c r="F59" t="s">
        <v>121</v>
      </c>
      <c r="G59" s="40" t="s">
        <v>62</v>
      </c>
    </row>
    <row r="60" spans="1:7">
      <c r="A60">
        <v>59</v>
      </c>
      <c r="B60" t="s">
        <v>122</v>
      </c>
      <c r="C60" s="40">
        <v>3</v>
      </c>
      <c r="D60" s="2">
        <f t="shared" si="0"/>
        <v>2.3076923076923079</v>
      </c>
      <c r="E60" s="40">
        <v>1</v>
      </c>
      <c r="F60" t="s">
        <v>121</v>
      </c>
      <c r="G60" s="40" t="s">
        <v>62</v>
      </c>
    </row>
    <row r="61" spans="1:7">
      <c r="A61">
        <v>60</v>
      </c>
      <c r="B61" t="s">
        <v>123</v>
      </c>
      <c r="C61" s="40">
        <v>3</v>
      </c>
      <c r="D61" s="2">
        <f t="shared" si="0"/>
        <v>2.3076923076923079</v>
      </c>
      <c r="E61" s="40">
        <v>1</v>
      </c>
      <c r="F61" t="s">
        <v>99</v>
      </c>
      <c r="G61" s="40" t="s">
        <v>13</v>
      </c>
    </row>
    <row r="62" spans="1:7">
      <c r="A62">
        <v>61</v>
      </c>
      <c r="B62" t="s">
        <v>124</v>
      </c>
      <c r="C62" s="40">
        <v>3</v>
      </c>
      <c r="D62" s="2">
        <f t="shared" si="0"/>
        <v>2.3076923076923079</v>
      </c>
      <c r="E62" s="40">
        <v>1</v>
      </c>
      <c r="F62" t="s">
        <v>121</v>
      </c>
      <c r="G62" s="40" t="s">
        <v>17</v>
      </c>
    </row>
    <row r="63" spans="1:7">
      <c r="A63">
        <v>62</v>
      </c>
      <c r="B63" t="s">
        <v>125</v>
      </c>
      <c r="C63" s="40">
        <v>2</v>
      </c>
      <c r="D63" s="2">
        <f t="shared" si="0"/>
        <v>1.5384615384615385</v>
      </c>
      <c r="E63" s="40">
        <v>1</v>
      </c>
      <c r="F63" t="s">
        <v>111</v>
      </c>
      <c r="G63" s="40" t="s">
        <v>62</v>
      </c>
    </row>
    <row r="64" spans="1:7">
      <c r="A64">
        <v>63</v>
      </c>
      <c r="B64" t="s">
        <v>126</v>
      </c>
      <c r="C64" s="40">
        <v>2</v>
      </c>
      <c r="D64" s="2">
        <f t="shared" si="0"/>
        <v>1.5384615384615385</v>
      </c>
      <c r="E64" s="40">
        <v>1</v>
      </c>
      <c r="F64" t="s">
        <v>102</v>
      </c>
      <c r="G64" s="40" t="s">
        <v>20</v>
      </c>
    </row>
    <row r="65" spans="1:7">
      <c r="A65">
        <v>64</v>
      </c>
      <c r="B65" t="s">
        <v>127</v>
      </c>
      <c r="C65" s="40">
        <v>2</v>
      </c>
      <c r="D65" s="2">
        <f t="shared" si="0"/>
        <v>1.5384615384615385</v>
      </c>
      <c r="E65" s="40">
        <v>1</v>
      </c>
      <c r="F65" t="s">
        <v>102</v>
      </c>
      <c r="G65" s="40" t="s">
        <v>25</v>
      </c>
    </row>
    <row r="66" spans="1:7">
      <c r="A66">
        <v>65</v>
      </c>
      <c r="B66" t="s">
        <v>128</v>
      </c>
      <c r="C66" s="40">
        <v>2</v>
      </c>
      <c r="D66" s="2">
        <f t="shared" ref="D66:D82" si="1">(C66/130)*100</f>
        <v>1.5384615384615385</v>
      </c>
      <c r="E66" s="40">
        <v>1</v>
      </c>
      <c r="F66" t="s">
        <v>129</v>
      </c>
      <c r="G66" s="40" t="s">
        <v>9</v>
      </c>
    </row>
    <row r="67" spans="1:7">
      <c r="A67">
        <v>66</v>
      </c>
      <c r="B67" t="s">
        <v>130</v>
      </c>
      <c r="C67" s="40">
        <v>2</v>
      </c>
      <c r="D67" s="2">
        <f t="shared" si="1"/>
        <v>1.5384615384615385</v>
      </c>
      <c r="E67" s="40">
        <v>1</v>
      </c>
      <c r="F67" t="s">
        <v>102</v>
      </c>
      <c r="G67" s="40" t="s">
        <v>20</v>
      </c>
    </row>
    <row r="68" spans="1:7">
      <c r="A68">
        <v>67</v>
      </c>
      <c r="B68" t="s">
        <v>131</v>
      </c>
      <c r="C68" s="40">
        <v>2</v>
      </c>
      <c r="D68" s="2">
        <f t="shared" si="1"/>
        <v>1.5384615384615385</v>
      </c>
      <c r="E68" s="40">
        <v>1</v>
      </c>
      <c r="F68" t="s">
        <v>99</v>
      </c>
      <c r="G68" s="40" t="s">
        <v>25</v>
      </c>
    </row>
    <row r="69" spans="1:7">
      <c r="A69">
        <v>68</v>
      </c>
      <c r="B69" t="s">
        <v>132</v>
      </c>
      <c r="C69" s="40">
        <v>2</v>
      </c>
      <c r="D69" s="2">
        <f t="shared" si="1"/>
        <v>1.5384615384615385</v>
      </c>
      <c r="E69" s="40">
        <v>1</v>
      </c>
      <c r="F69" t="s">
        <v>129</v>
      </c>
      <c r="G69" s="40" t="s">
        <v>67</v>
      </c>
    </row>
    <row r="70" spans="1:7">
      <c r="A70">
        <v>69</v>
      </c>
      <c r="B70" t="s">
        <v>133</v>
      </c>
      <c r="C70" s="40">
        <v>2</v>
      </c>
      <c r="D70" s="2">
        <f t="shared" si="1"/>
        <v>1.5384615384615385</v>
      </c>
      <c r="E70" s="40">
        <v>1</v>
      </c>
      <c r="F70" t="s">
        <v>102</v>
      </c>
      <c r="G70" s="40" t="s">
        <v>133</v>
      </c>
    </row>
    <row r="71" spans="1:7">
      <c r="A71">
        <v>70</v>
      </c>
      <c r="B71" t="s">
        <v>134</v>
      </c>
      <c r="C71" s="40">
        <v>2</v>
      </c>
      <c r="D71" s="2">
        <f t="shared" si="1"/>
        <v>1.5384615384615385</v>
      </c>
      <c r="E71" s="40">
        <v>1</v>
      </c>
      <c r="F71" t="s">
        <v>135</v>
      </c>
      <c r="G71" s="40" t="s">
        <v>133</v>
      </c>
    </row>
    <row r="72" spans="1:7">
      <c r="A72">
        <v>71</v>
      </c>
      <c r="B72" t="s">
        <v>136</v>
      </c>
      <c r="C72" s="40">
        <v>2</v>
      </c>
      <c r="D72" s="2">
        <f t="shared" si="1"/>
        <v>1.5384615384615385</v>
      </c>
      <c r="E72" s="40">
        <v>1</v>
      </c>
      <c r="F72" t="s">
        <v>137</v>
      </c>
      <c r="G72" s="40" t="s">
        <v>25</v>
      </c>
    </row>
    <row r="73" spans="1:7">
      <c r="A73">
        <v>72</v>
      </c>
      <c r="B73" t="s">
        <v>138</v>
      </c>
      <c r="C73" s="40">
        <v>2</v>
      </c>
      <c r="D73" s="2">
        <f t="shared" si="1"/>
        <v>1.5384615384615385</v>
      </c>
      <c r="E73" s="40">
        <v>1</v>
      </c>
      <c r="F73" t="s">
        <v>111</v>
      </c>
      <c r="G73" s="40" t="s">
        <v>25</v>
      </c>
    </row>
    <row r="74" spans="1:7">
      <c r="A74">
        <v>73</v>
      </c>
      <c r="B74" t="s">
        <v>139</v>
      </c>
      <c r="C74" s="40">
        <v>2</v>
      </c>
      <c r="D74" s="2">
        <f t="shared" si="1"/>
        <v>1.5384615384615385</v>
      </c>
      <c r="E74" s="40">
        <v>1</v>
      </c>
      <c r="F74" t="s">
        <v>140</v>
      </c>
      <c r="G74" s="40" t="s">
        <v>13</v>
      </c>
    </row>
    <row r="75" spans="1:7">
      <c r="A75">
        <v>74</v>
      </c>
      <c r="B75" t="s">
        <v>141</v>
      </c>
      <c r="C75" s="40">
        <v>2</v>
      </c>
      <c r="D75" s="2">
        <f t="shared" si="1"/>
        <v>1.5384615384615385</v>
      </c>
      <c r="E75" s="40">
        <v>1</v>
      </c>
      <c r="F75" t="s">
        <v>121</v>
      </c>
      <c r="G75" s="40" t="s">
        <v>28</v>
      </c>
    </row>
    <row r="76" spans="1:7">
      <c r="A76">
        <v>75</v>
      </c>
      <c r="B76" t="s">
        <v>142</v>
      </c>
      <c r="C76" s="40">
        <v>2</v>
      </c>
      <c r="D76" s="2">
        <f t="shared" si="1"/>
        <v>1.5384615384615385</v>
      </c>
      <c r="E76" s="40">
        <v>1</v>
      </c>
      <c r="F76" t="s">
        <v>111</v>
      </c>
      <c r="G76" s="40" t="s">
        <v>67</v>
      </c>
    </row>
    <row r="77" spans="1:7">
      <c r="A77">
        <v>76</v>
      </c>
      <c r="B77" t="s">
        <v>143</v>
      </c>
      <c r="C77" s="40">
        <v>2</v>
      </c>
      <c r="D77" s="2">
        <f t="shared" si="1"/>
        <v>1.5384615384615385</v>
      </c>
      <c r="E77" s="40">
        <v>1</v>
      </c>
      <c r="F77" t="s">
        <v>129</v>
      </c>
      <c r="G77" s="40" t="s">
        <v>13</v>
      </c>
    </row>
    <row r="78" spans="1:7">
      <c r="A78">
        <v>77</v>
      </c>
      <c r="B78" t="s">
        <v>144</v>
      </c>
      <c r="C78" s="40">
        <v>2</v>
      </c>
      <c r="D78" s="2">
        <f t="shared" si="1"/>
        <v>1.5384615384615385</v>
      </c>
      <c r="E78" s="40">
        <v>1</v>
      </c>
      <c r="F78" t="s">
        <v>140</v>
      </c>
      <c r="G78" s="40" t="s">
        <v>25</v>
      </c>
    </row>
    <row r="79" spans="1:7">
      <c r="A79">
        <v>78</v>
      </c>
      <c r="B79" t="s">
        <v>145</v>
      </c>
      <c r="C79" s="40">
        <v>2</v>
      </c>
      <c r="D79" s="2">
        <f t="shared" si="1"/>
        <v>1.5384615384615385</v>
      </c>
      <c r="E79" s="40">
        <v>1</v>
      </c>
      <c r="F79" t="s">
        <v>95</v>
      </c>
      <c r="G79" s="40" t="s">
        <v>12</v>
      </c>
    </row>
    <row r="80" spans="1:7">
      <c r="A80">
        <v>79</v>
      </c>
      <c r="B80" t="s">
        <v>146</v>
      </c>
      <c r="C80" s="40">
        <v>1</v>
      </c>
      <c r="D80" s="2">
        <f t="shared" si="1"/>
        <v>0.76923076923076927</v>
      </c>
      <c r="E80" s="40">
        <v>1</v>
      </c>
      <c r="F80" t="s">
        <v>95</v>
      </c>
      <c r="G80" s="40" t="s">
        <v>94</v>
      </c>
    </row>
    <row r="81" spans="1:7">
      <c r="A81">
        <v>80</v>
      </c>
      <c r="B81" t="s">
        <v>147</v>
      </c>
      <c r="C81" s="40">
        <v>1</v>
      </c>
      <c r="D81" s="2">
        <f t="shared" si="1"/>
        <v>0.76923076923076927</v>
      </c>
      <c r="E81" s="40">
        <v>1</v>
      </c>
      <c r="F81" t="s">
        <v>95</v>
      </c>
      <c r="G81" s="40" t="s">
        <v>100</v>
      </c>
    </row>
    <row r="82" spans="1:7">
      <c r="A82">
        <v>81</v>
      </c>
      <c r="B82" t="s">
        <v>148</v>
      </c>
      <c r="C82" s="40">
        <v>1</v>
      </c>
      <c r="D82" s="2">
        <f t="shared" si="1"/>
        <v>0.76923076923076927</v>
      </c>
      <c r="E82" s="40">
        <v>1</v>
      </c>
      <c r="F82" t="s">
        <v>95</v>
      </c>
      <c r="G82" s="40" t="s">
        <v>62</v>
      </c>
    </row>
    <row r="83" spans="1:7">
      <c r="C83" s="40"/>
      <c r="D83" s="2"/>
      <c r="E83" s="40"/>
      <c r="G83" s="40"/>
    </row>
    <row r="84" spans="1:7">
      <c r="C84" s="40"/>
      <c r="D84" s="2"/>
      <c r="E84" s="40"/>
      <c r="G84" s="40"/>
    </row>
    <row r="85" spans="1:7">
      <c r="C85" s="40"/>
      <c r="D85" s="2"/>
      <c r="E85" s="40"/>
      <c r="G85" s="40"/>
    </row>
    <row r="86" spans="1:7">
      <c r="C86" s="40"/>
      <c r="D86" s="2"/>
      <c r="E86" s="40"/>
      <c r="G86" s="40"/>
    </row>
    <row r="87" spans="1:7">
      <c r="C87" s="40"/>
      <c r="D87" s="2"/>
      <c r="E87" s="40"/>
      <c r="G87" s="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C93F-3844-491C-8477-F989595A552E}">
  <dimension ref="A1:G80"/>
  <sheetViews>
    <sheetView workbookViewId="0">
      <selection activeCell="C2" sqref="C2"/>
    </sheetView>
  </sheetViews>
  <sheetFormatPr defaultRowHeight="15"/>
  <cols>
    <col min="2" max="2" width="36.140625" customWidth="1"/>
    <col min="3" max="3" width="27.28515625" customWidth="1"/>
    <col min="4" max="4" width="22.5703125" customWidth="1"/>
    <col min="5" max="5" width="32.7109375" customWidth="1"/>
    <col min="6" max="6" width="27.5703125" customWidth="1"/>
    <col min="7" max="7" width="36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149</v>
      </c>
      <c r="F1" s="1" t="s">
        <v>150</v>
      </c>
      <c r="G1" s="1" t="s">
        <v>6</v>
      </c>
    </row>
    <row r="2" spans="1:7">
      <c r="A2">
        <v>1</v>
      </c>
      <c r="B2" s="40" t="s">
        <v>151</v>
      </c>
      <c r="C2" s="40">
        <v>80</v>
      </c>
      <c r="D2" s="40">
        <f>(C2/80)*100</f>
        <v>100</v>
      </c>
      <c r="E2" s="40">
        <v>16</v>
      </c>
      <c r="F2" t="s">
        <v>152</v>
      </c>
      <c r="G2" s="40" t="s">
        <v>25</v>
      </c>
    </row>
    <row r="3" spans="1:7">
      <c r="A3">
        <v>2</v>
      </c>
      <c r="B3" s="40" t="s">
        <v>7</v>
      </c>
      <c r="C3" s="40">
        <v>79</v>
      </c>
      <c r="D3" s="2">
        <f>(C3/80)*100</f>
        <v>98.75</v>
      </c>
      <c r="E3" s="40">
        <v>16</v>
      </c>
      <c r="F3" t="s">
        <v>152</v>
      </c>
      <c r="G3" s="40" t="s">
        <v>9</v>
      </c>
    </row>
    <row r="4" spans="1:7">
      <c r="A4">
        <v>3</v>
      </c>
      <c r="B4" s="40" t="s">
        <v>13</v>
      </c>
      <c r="C4" s="40">
        <v>75</v>
      </c>
      <c r="D4" s="2">
        <f t="shared" ref="D4:D67" si="0">(C4/80)*100</f>
        <v>93.75</v>
      </c>
      <c r="E4" s="40">
        <v>16</v>
      </c>
      <c r="F4" t="s">
        <v>152</v>
      </c>
      <c r="G4" s="40" t="s">
        <v>13</v>
      </c>
    </row>
    <row r="5" spans="1:7">
      <c r="A5">
        <v>4</v>
      </c>
      <c r="B5" s="40" t="s">
        <v>153</v>
      </c>
      <c r="C5" s="40">
        <v>72</v>
      </c>
      <c r="D5" s="2">
        <f t="shared" si="0"/>
        <v>90</v>
      </c>
      <c r="E5" s="40">
        <v>15</v>
      </c>
      <c r="F5" t="s">
        <v>154</v>
      </c>
      <c r="G5" s="40" t="s">
        <v>62</v>
      </c>
    </row>
    <row r="6" spans="1:7">
      <c r="A6">
        <v>5</v>
      </c>
      <c r="B6" s="40" t="s">
        <v>33</v>
      </c>
      <c r="C6" s="40">
        <v>63</v>
      </c>
      <c r="D6" s="2">
        <f t="shared" si="0"/>
        <v>78.75</v>
      </c>
      <c r="E6" s="40">
        <v>15</v>
      </c>
      <c r="F6" t="s">
        <v>155</v>
      </c>
      <c r="G6" s="40" t="s">
        <v>33</v>
      </c>
    </row>
    <row r="7" spans="1:7">
      <c r="A7">
        <v>6</v>
      </c>
      <c r="B7" s="40" t="s">
        <v>136</v>
      </c>
      <c r="C7" s="40">
        <v>61</v>
      </c>
      <c r="D7" s="2">
        <f t="shared" si="0"/>
        <v>76.25</v>
      </c>
      <c r="E7" s="40">
        <v>15</v>
      </c>
      <c r="F7" t="s">
        <v>154</v>
      </c>
      <c r="G7" s="40" t="s">
        <v>25</v>
      </c>
    </row>
    <row r="8" spans="1:7">
      <c r="A8">
        <v>7</v>
      </c>
      <c r="B8" s="40" t="s">
        <v>94</v>
      </c>
      <c r="C8" s="40">
        <v>61</v>
      </c>
      <c r="D8" s="2">
        <f t="shared" si="0"/>
        <v>76.25</v>
      </c>
      <c r="E8" s="40">
        <v>14</v>
      </c>
      <c r="F8" t="s">
        <v>156</v>
      </c>
      <c r="G8" s="40" t="s">
        <v>94</v>
      </c>
    </row>
    <row r="9" spans="1:7">
      <c r="A9">
        <v>8</v>
      </c>
      <c r="B9" s="40" t="s">
        <v>157</v>
      </c>
      <c r="C9" s="40">
        <v>61</v>
      </c>
      <c r="D9" s="2">
        <f t="shared" si="0"/>
        <v>76.25</v>
      </c>
      <c r="E9" s="40">
        <v>13</v>
      </c>
      <c r="F9" t="s">
        <v>158</v>
      </c>
      <c r="G9" s="40" t="s">
        <v>25</v>
      </c>
    </row>
    <row r="10" spans="1:7">
      <c r="A10">
        <v>9</v>
      </c>
      <c r="B10" s="40" t="s">
        <v>159</v>
      </c>
      <c r="C10" s="40">
        <v>56</v>
      </c>
      <c r="D10" s="2">
        <f t="shared" si="0"/>
        <v>70</v>
      </c>
      <c r="E10" s="40">
        <v>14</v>
      </c>
      <c r="F10" t="s">
        <v>160</v>
      </c>
      <c r="G10" s="40" t="s">
        <v>28</v>
      </c>
    </row>
    <row r="11" spans="1:7">
      <c r="A11">
        <v>10</v>
      </c>
      <c r="B11" s="40" t="s">
        <v>161</v>
      </c>
      <c r="C11" s="40">
        <v>56</v>
      </c>
      <c r="D11" s="2">
        <f t="shared" si="0"/>
        <v>70</v>
      </c>
      <c r="E11" s="40">
        <v>12</v>
      </c>
      <c r="F11" t="s">
        <v>162</v>
      </c>
      <c r="G11" s="40" t="s">
        <v>25</v>
      </c>
    </row>
    <row r="12" spans="1:7">
      <c r="A12">
        <v>11</v>
      </c>
      <c r="B12" s="40" t="s">
        <v>163</v>
      </c>
      <c r="C12" s="40">
        <v>49</v>
      </c>
      <c r="D12" s="2">
        <f t="shared" si="0"/>
        <v>61.250000000000007</v>
      </c>
      <c r="E12" s="40">
        <v>11</v>
      </c>
      <c r="F12" t="s">
        <v>164</v>
      </c>
      <c r="G12" s="40" t="s">
        <v>17</v>
      </c>
    </row>
    <row r="13" spans="1:7">
      <c r="A13">
        <v>12</v>
      </c>
      <c r="B13" s="40" t="s">
        <v>165</v>
      </c>
      <c r="C13" s="40">
        <v>46</v>
      </c>
      <c r="D13" s="2">
        <f t="shared" si="0"/>
        <v>57.499999999999993</v>
      </c>
      <c r="E13" s="40">
        <v>12</v>
      </c>
      <c r="F13" t="s">
        <v>166</v>
      </c>
      <c r="G13" s="40" t="s">
        <v>20</v>
      </c>
    </row>
    <row r="14" spans="1:7">
      <c r="A14">
        <v>13</v>
      </c>
      <c r="B14" s="40" t="s">
        <v>167</v>
      </c>
      <c r="C14" s="40">
        <v>46</v>
      </c>
      <c r="D14" s="2">
        <f t="shared" si="0"/>
        <v>57.499999999999993</v>
      </c>
      <c r="E14" s="40">
        <v>10</v>
      </c>
      <c r="F14" t="s">
        <v>168</v>
      </c>
      <c r="G14" s="40" t="s">
        <v>67</v>
      </c>
    </row>
    <row r="15" spans="1:7">
      <c r="A15">
        <v>14</v>
      </c>
      <c r="B15" s="40" t="s">
        <v>169</v>
      </c>
      <c r="C15" s="40">
        <v>43</v>
      </c>
      <c r="D15" s="2">
        <f t="shared" si="0"/>
        <v>53.75</v>
      </c>
      <c r="E15" s="40">
        <v>11</v>
      </c>
      <c r="F15" t="s">
        <v>170</v>
      </c>
      <c r="G15" s="40" t="s">
        <v>62</v>
      </c>
    </row>
    <row r="16" spans="1:7">
      <c r="A16">
        <v>15</v>
      </c>
      <c r="B16" s="40" t="s">
        <v>171</v>
      </c>
      <c r="C16" s="40">
        <v>38</v>
      </c>
      <c r="D16" s="2">
        <f t="shared" si="0"/>
        <v>47.5</v>
      </c>
      <c r="E16" s="40">
        <v>8</v>
      </c>
      <c r="F16" t="s">
        <v>172</v>
      </c>
      <c r="G16" s="40" t="s">
        <v>62</v>
      </c>
    </row>
    <row r="17" spans="1:7">
      <c r="A17">
        <v>16</v>
      </c>
      <c r="B17" s="40" t="s">
        <v>173</v>
      </c>
      <c r="C17" s="40">
        <v>37</v>
      </c>
      <c r="D17" s="2">
        <f t="shared" si="0"/>
        <v>46.25</v>
      </c>
      <c r="E17" s="40">
        <v>9</v>
      </c>
      <c r="F17" t="s">
        <v>174</v>
      </c>
      <c r="G17" s="40" t="s">
        <v>25</v>
      </c>
    </row>
    <row r="18" spans="1:7">
      <c r="A18">
        <v>17</v>
      </c>
      <c r="B18" s="40" t="s">
        <v>175</v>
      </c>
      <c r="C18" s="40">
        <v>37</v>
      </c>
      <c r="D18" s="2">
        <f t="shared" si="0"/>
        <v>46.25</v>
      </c>
      <c r="E18" s="40">
        <v>8</v>
      </c>
      <c r="F18" t="s">
        <v>176</v>
      </c>
      <c r="G18" s="40" t="s">
        <v>25</v>
      </c>
    </row>
    <row r="19" spans="1:7">
      <c r="A19">
        <v>18</v>
      </c>
      <c r="B19" s="40" t="s">
        <v>36</v>
      </c>
      <c r="C19" s="40">
        <v>35</v>
      </c>
      <c r="D19" s="2">
        <f t="shared" si="0"/>
        <v>43.75</v>
      </c>
      <c r="E19" s="40">
        <v>10</v>
      </c>
      <c r="F19" t="s">
        <v>177</v>
      </c>
      <c r="G19" s="40" t="s">
        <v>38</v>
      </c>
    </row>
    <row r="20" spans="1:7">
      <c r="A20">
        <v>19</v>
      </c>
      <c r="B20" s="40" t="s">
        <v>16</v>
      </c>
      <c r="C20" s="40">
        <v>32</v>
      </c>
      <c r="D20" s="2">
        <f t="shared" si="0"/>
        <v>40</v>
      </c>
      <c r="E20" s="40">
        <v>7</v>
      </c>
      <c r="F20" t="s">
        <v>178</v>
      </c>
      <c r="G20" s="40" t="s">
        <v>17</v>
      </c>
    </row>
    <row r="21" spans="1:7">
      <c r="A21">
        <v>20</v>
      </c>
      <c r="B21" s="40" t="s">
        <v>179</v>
      </c>
      <c r="C21" s="40">
        <v>28</v>
      </c>
      <c r="D21" s="2">
        <f t="shared" si="0"/>
        <v>35</v>
      </c>
      <c r="E21" s="40">
        <v>8</v>
      </c>
      <c r="F21" t="s">
        <v>180</v>
      </c>
      <c r="G21" s="40" t="s">
        <v>100</v>
      </c>
    </row>
    <row r="22" spans="1:7">
      <c r="A22">
        <v>21</v>
      </c>
      <c r="B22" s="40" t="s">
        <v>181</v>
      </c>
      <c r="C22" s="40">
        <v>27</v>
      </c>
      <c r="D22" s="2">
        <f t="shared" si="0"/>
        <v>33.75</v>
      </c>
      <c r="E22" s="40">
        <v>6</v>
      </c>
      <c r="F22" t="s">
        <v>182</v>
      </c>
      <c r="G22" s="40" t="s">
        <v>13</v>
      </c>
    </row>
    <row r="23" spans="1:7">
      <c r="A23">
        <v>22</v>
      </c>
      <c r="B23" s="40" t="s">
        <v>133</v>
      </c>
      <c r="C23" s="40">
        <v>25</v>
      </c>
      <c r="D23" s="2">
        <f t="shared" si="0"/>
        <v>31.25</v>
      </c>
      <c r="E23" s="40">
        <v>8</v>
      </c>
      <c r="F23" t="s">
        <v>183</v>
      </c>
      <c r="G23" s="40" t="s">
        <v>133</v>
      </c>
    </row>
    <row r="24" spans="1:7">
      <c r="A24">
        <v>23</v>
      </c>
      <c r="B24" s="40" t="s">
        <v>184</v>
      </c>
      <c r="C24" s="40">
        <v>25</v>
      </c>
      <c r="D24" s="2">
        <f t="shared" si="0"/>
        <v>31.25</v>
      </c>
      <c r="E24" s="40">
        <v>6</v>
      </c>
      <c r="F24" t="s">
        <v>185</v>
      </c>
      <c r="G24" s="40" t="s">
        <v>62</v>
      </c>
    </row>
    <row r="25" spans="1:7">
      <c r="A25">
        <v>24</v>
      </c>
      <c r="B25" s="40" t="s">
        <v>186</v>
      </c>
      <c r="C25" s="40">
        <v>25</v>
      </c>
      <c r="D25" s="2">
        <f t="shared" si="0"/>
        <v>31.25</v>
      </c>
      <c r="E25" s="40">
        <v>6</v>
      </c>
      <c r="F25" t="s">
        <v>187</v>
      </c>
      <c r="G25" s="40" t="s">
        <v>38</v>
      </c>
    </row>
    <row r="26" spans="1:7">
      <c r="A26">
        <v>25</v>
      </c>
      <c r="B26" s="40" t="s">
        <v>188</v>
      </c>
      <c r="C26" s="40">
        <v>24</v>
      </c>
      <c r="D26" s="2">
        <f t="shared" si="0"/>
        <v>30</v>
      </c>
      <c r="E26" s="40">
        <v>6</v>
      </c>
      <c r="F26" t="s">
        <v>189</v>
      </c>
      <c r="G26" s="40" t="s">
        <v>67</v>
      </c>
    </row>
    <row r="27" spans="1:7">
      <c r="A27">
        <v>26</v>
      </c>
      <c r="B27" s="40" t="s">
        <v>72</v>
      </c>
      <c r="C27" s="40">
        <v>23</v>
      </c>
      <c r="D27" s="2">
        <f t="shared" si="0"/>
        <v>28.749999999999996</v>
      </c>
      <c r="E27" s="40">
        <v>6</v>
      </c>
      <c r="F27" t="s">
        <v>190</v>
      </c>
      <c r="G27" s="40" t="s">
        <v>9</v>
      </c>
    </row>
    <row r="28" spans="1:7">
      <c r="A28">
        <v>27</v>
      </c>
      <c r="B28" s="40" t="s">
        <v>191</v>
      </c>
      <c r="C28" s="40">
        <v>23</v>
      </c>
      <c r="D28" s="2">
        <f t="shared" si="0"/>
        <v>28.749999999999996</v>
      </c>
      <c r="E28" s="40">
        <v>7</v>
      </c>
      <c r="F28" t="s">
        <v>192</v>
      </c>
      <c r="G28" s="40" t="s">
        <v>62</v>
      </c>
    </row>
    <row r="29" spans="1:7">
      <c r="A29">
        <v>28</v>
      </c>
      <c r="B29" s="40" t="s">
        <v>193</v>
      </c>
      <c r="C29" s="40">
        <v>22</v>
      </c>
      <c r="D29" s="2">
        <f t="shared" si="0"/>
        <v>27.500000000000004</v>
      </c>
      <c r="E29" s="40">
        <v>6</v>
      </c>
      <c r="F29" t="s">
        <v>194</v>
      </c>
      <c r="G29" s="40" t="s">
        <v>33</v>
      </c>
    </row>
    <row r="30" spans="1:7">
      <c r="A30">
        <v>29</v>
      </c>
      <c r="B30" s="40" t="s">
        <v>195</v>
      </c>
      <c r="C30" s="40">
        <v>22</v>
      </c>
      <c r="D30" s="2">
        <f t="shared" si="0"/>
        <v>27.500000000000004</v>
      </c>
      <c r="E30" s="40">
        <v>5</v>
      </c>
      <c r="F30" t="s">
        <v>196</v>
      </c>
      <c r="G30" s="40" t="s">
        <v>13</v>
      </c>
    </row>
    <row r="31" spans="1:7">
      <c r="A31">
        <v>30</v>
      </c>
      <c r="B31" s="40" t="s">
        <v>197</v>
      </c>
      <c r="C31" s="40">
        <v>19</v>
      </c>
      <c r="D31" s="2">
        <f t="shared" si="0"/>
        <v>23.75</v>
      </c>
      <c r="E31" s="40">
        <v>4</v>
      </c>
      <c r="F31" t="s">
        <v>198</v>
      </c>
      <c r="G31" s="40" t="s">
        <v>25</v>
      </c>
    </row>
    <row r="32" spans="1:7">
      <c r="A32">
        <v>31</v>
      </c>
      <c r="B32" s="40" t="s">
        <v>199</v>
      </c>
      <c r="C32" s="40">
        <v>18</v>
      </c>
      <c r="D32" s="2">
        <f t="shared" si="0"/>
        <v>22.5</v>
      </c>
      <c r="E32" s="40">
        <v>5</v>
      </c>
      <c r="F32" t="s">
        <v>200</v>
      </c>
      <c r="G32" s="40" t="s">
        <v>25</v>
      </c>
    </row>
    <row r="33" spans="1:7">
      <c r="A33">
        <v>32</v>
      </c>
      <c r="B33" s="40" t="s">
        <v>201</v>
      </c>
      <c r="C33" s="40">
        <v>18</v>
      </c>
      <c r="D33" s="2">
        <f t="shared" si="0"/>
        <v>22.5</v>
      </c>
      <c r="E33" s="40">
        <v>4</v>
      </c>
      <c r="F33" t="s">
        <v>202</v>
      </c>
      <c r="G33" s="40" t="s">
        <v>62</v>
      </c>
    </row>
    <row r="34" spans="1:7">
      <c r="A34">
        <v>33</v>
      </c>
      <c r="B34" s="40" t="s">
        <v>203</v>
      </c>
      <c r="C34" s="40">
        <v>18</v>
      </c>
      <c r="D34" s="2">
        <f t="shared" si="0"/>
        <v>22.5</v>
      </c>
      <c r="E34" s="40">
        <v>4</v>
      </c>
      <c r="F34" t="s">
        <v>204</v>
      </c>
      <c r="G34" s="40" t="s">
        <v>9</v>
      </c>
    </row>
    <row r="35" spans="1:7">
      <c r="A35">
        <v>34</v>
      </c>
      <c r="B35" s="40" t="s">
        <v>205</v>
      </c>
      <c r="C35" s="40">
        <v>15</v>
      </c>
      <c r="D35" s="2">
        <f t="shared" si="0"/>
        <v>18.75</v>
      </c>
      <c r="E35" s="40">
        <v>5</v>
      </c>
      <c r="F35" t="s">
        <v>206</v>
      </c>
      <c r="G35" s="40" t="s">
        <v>13</v>
      </c>
    </row>
    <row r="36" spans="1:7">
      <c r="A36">
        <v>35</v>
      </c>
      <c r="B36" s="40" t="s">
        <v>207</v>
      </c>
      <c r="C36" s="40">
        <v>14</v>
      </c>
      <c r="D36" s="2">
        <f t="shared" si="0"/>
        <v>17.5</v>
      </c>
      <c r="E36" s="40">
        <v>4</v>
      </c>
      <c r="F36" t="s">
        <v>208</v>
      </c>
      <c r="G36" s="40" t="s">
        <v>67</v>
      </c>
    </row>
    <row r="37" spans="1:7">
      <c r="A37">
        <v>36</v>
      </c>
      <c r="B37" s="40" t="s">
        <v>209</v>
      </c>
      <c r="C37" s="40">
        <v>14</v>
      </c>
      <c r="D37" s="2">
        <f t="shared" si="0"/>
        <v>17.5</v>
      </c>
      <c r="E37" s="40">
        <v>3</v>
      </c>
      <c r="F37" t="s">
        <v>210</v>
      </c>
      <c r="G37" s="40" t="s">
        <v>13</v>
      </c>
    </row>
    <row r="38" spans="1:7">
      <c r="A38">
        <v>37</v>
      </c>
      <c r="B38" s="40" t="s">
        <v>211</v>
      </c>
      <c r="C38" s="40">
        <v>13</v>
      </c>
      <c r="D38" s="2">
        <f t="shared" si="0"/>
        <v>16.25</v>
      </c>
      <c r="E38" s="40">
        <v>4</v>
      </c>
      <c r="F38" t="s">
        <v>212</v>
      </c>
      <c r="G38" s="40" t="s">
        <v>100</v>
      </c>
    </row>
    <row r="39" spans="1:7">
      <c r="A39">
        <v>38</v>
      </c>
      <c r="B39" s="40" t="s">
        <v>213</v>
      </c>
      <c r="C39" s="40">
        <v>13</v>
      </c>
      <c r="D39" s="2">
        <f t="shared" si="0"/>
        <v>16.25</v>
      </c>
      <c r="E39" s="40">
        <v>3</v>
      </c>
      <c r="F39" t="s">
        <v>214</v>
      </c>
      <c r="G39" s="40" t="s">
        <v>20</v>
      </c>
    </row>
    <row r="40" spans="1:7">
      <c r="A40">
        <v>39</v>
      </c>
      <c r="B40" s="40" t="s">
        <v>215</v>
      </c>
      <c r="C40" s="40">
        <v>13</v>
      </c>
      <c r="D40" s="2">
        <f t="shared" si="0"/>
        <v>16.25</v>
      </c>
      <c r="E40" s="40">
        <v>3</v>
      </c>
      <c r="F40" t="s">
        <v>216</v>
      </c>
      <c r="G40" s="40" t="s">
        <v>9</v>
      </c>
    </row>
    <row r="41" spans="1:7">
      <c r="A41">
        <v>40</v>
      </c>
      <c r="B41" s="40" t="s">
        <v>217</v>
      </c>
      <c r="C41" s="40">
        <v>13</v>
      </c>
      <c r="D41" s="2">
        <f t="shared" si="0"/>
        <v>16.25</v>
      </c>
      <c r="E41" s="40">
        <v>3</v>
      </c>
      <c r="F41" t="s">
        <v>218</v>
      </c>
      <c r="G41" s="40" t="s">
        <v>25</v>
      </c>
    </row>
    <row r="42" spans="1:7">
      <c r="A42">
        <v>41</v>
      </c>
      <c r="B42" s="40" t="s">
        <v>219</v>
      </c>
      <c r="C42" s="40">
        <v>12</v>
      </c>
      <c r="D42" s="2">
        <f t="shared" si="0"/>
        <v>15</v>
      </c>
      <c r="E42" s="40">
        <v>3</v>
      </c>
      <c r="F42" t="s">
        <v>220</v>
      </c>
      <c r="G42" s="40" t="s">
        <v>25</v>
      </c>
    </row>
    <row r="43" spans="1:7">
      <c r="A43">
        <v>42</v>
      </c>
      <c r="B43" s="40" t="s">
        <v>221</v>
      </c>
      <c r="C43" s="40">
        <v>11</v>
      </c>
      <c r="D43" s="2">
        <f t="shared" si="0"/>
        <v>13.750000000000002</v>
      </c>
      <c r="E43" s="40">
        <v>3</v>
      </c>
      <c r="F43" t="s">
        <v>222</v>
      </c>
      <c r="G43" s="40" t="s">
        <v>67</v>
      </c>
    </row>
    <row r="44" spans="1:7">
      <c r="A44">
        <v>43</v>
      </c>
      <c r="B44" s="40" t="s">
        <v>223</v>
      </c>
      <c r="C44" s="40">
        <v>10</v>
      </c>
      <c r="D44" s="2">
        <f t="shared" si="0"/>
        <v>12.5</v>
      </c>
      <c r="E44" s="40">
        <v>3</v>
      </c>
      <c r="F44" t="s">
        <v>224</v>
      </c>
      <c r="G44" s="40" t="s">
        <v>25</v>
      </c>
    </row>
    <row r="45" spans="1:7">
      <c r="A45">
        <v>44</v>
      </c>
      <c r="B45" s="40" t="s">
        <v>225</v>
      </c>
      <c r="C45" s="40">
        <v>10</v>
      </c>
      <c r="D45" s="2">
        <f t="shared" si="0"/>
        <v>12.5</v>
      </c>
      <c r="E45" s="40">
        <v>3</v>
      </c>
      <c r="F45" t="s">
        <v>226</v>
      </c>
      <c r="G45" s="40" t="s">
        <v>62</v>
      </c>
    </row>
    <row r="46" spans="1:7">
      <c r="A46">
        <v>45</v>
      </c>
      <c r="B46" s="40" t="s">
        <v>227</v>
      </c>
      <c r="C46" s="40">
        <v>10</v>
      </c>
      <c r="D46" s="2">
        <f t="shared" si="0"/>
        <v>12.5</v>
      </c>
      <c r="E46" s="40">
        <v>2</v>
      </c>
      <c r="F46" t="s">
        <v>228</v>
      </c>
      <c r="G46" s="40" t="s">
        <v>94</v>
      </c>
    </row>
    <row r="47" spans="1:7">
      <c r="A47">
        <v>46</v>
      </c>
      <c r="B47" s="40" t="s">
        <v>229</v>
      </c>
      <c r="C47" s="40">
        <v>10</v>
      </c>
      <c r="D47" s="2">
        <f t="shared" si="0"/>
        <v>12.5</v>
      </c>
      <c r="E47" s="40">
        <v>2</v>
      </c>
      <c r="F47" t="s">
        <v>228</v>
      </c>
      <c r="G47" s="40" t="s">
        <v>25</v>
      </c>
    </row>
    <row r="48" spans="1:7">
      <c r="A48">
        <v>47</v>
      </c>
      <c r="B48" s="40" t="s">
        <v>230</v>
      </c>
      <c r="C48" s="40">
        <v>10</v>
      </c>
      <c r="D48" s="2">
        <f t="shared" si="0"/>
        <v>12.5</v>
      </c>
      <c r="E48" s="40">
        <v>2</v>
      </c>
      <c r="F48" t="s">
        <v>231</v>
      </c>
      <c r="G48" s="40" t="s">
        <v>17</v>
      </c>
    </row>
    <row r="49" spans="1:7">
      <c r="A49">
        <v>48</v>
      </c>
      <c r="B49" s="40" t="s">
        <v>232</v>
      </c>
      <c r="C49" s="40">
        <v>9</v>
      </c>
      <c r="D49" s="2">
        <f t="shared" si="0"/>
        <v>11.25</v>
      </c>
      <c r="E49" s="40">
        <v>3</v>
      </c>
      <c r="F49" t="s">
        <v>233</v>
      </c>
      <c r="G49" s="40" t="s">
        <v>62</v>
      </c>
    </row>
    <row r="50" spans="1:7">
      <c r="A50">
        <v>49</v>
      </c>
      <c r="B50" s="40" t="s">
        <v>234</v>
      </c>
      <c r="C50" s="40">
        <v>9</v>
      </c>
      <c r="D50" s="2">
        <f t="shared" si="0"/>
        <v>11.25</v>
      </c>
      <c r="E50" s="40">
        <v>2</v>
      </c>
      <c r="F50" t="s">
        <v>235</v>
      </c>
      <c r="G50" s="40" t="s">
        <v>12</v>
      </c>
    </row>
    <row r="51" spans="1:7">
      <c r="A51">
        <v>50</v>
      </c>
      <c r="B51" s="40" t="s">
        <v>236</v>
      </c>
      <c r="C51" s="40">
        <v>9</v>
      </c>
      <c r="D51" s="2">
        <f t="shared" si="0"/>
        <v>11.25</v>
      </c>
      <c r="E51" s="40">
        <v>2</v>
      </c>
      <c r="F51" t="s">
        <v>237</v>
      </c>
      <c r="G51" s="40" t="s">
        <v>13</v>
      </c>
    </row>
    <row r="52" spans="1:7">
      <c r="A52">
        <v>51</v>
      </c>
      <c r="B52" s="40" t="s">
        <v>29</v>
      </c>
      <c r="C52" s="40">
        <v>8</v>
      </c>
      <c r="D52" s="2">
        <f t="shared" si="0"/>
        <v>10</v>
      </c>
      <c r="E52" s="40">
        <v>3</v>
      </c>
      <c r="F52" t="s">
        <v>238</v>
      </c>
      <c r="G52" s="40" t="s">
        <v>28</v>
      </c>
    </row>
    <row r="53" spans="1:7">
      <c r="A53">
        <v>52</v>
      </c>
      <c r="B53" s="40" t="s">
        <v>239</v>
      </c>
      <c r="C53" s="40">
        <v>8</v>
      </c>
      <c r="D53" s="2">
        <f t="shared" si="0"/>
        <v>10</v>
      </c>
      <c r="E53" s="40">
        <v>2</v>
      </c>
      <c r="F53" t="s">
        <v>240</v>
      </c>
      <c r="G53" s="40" t="s">
        <v>67</v>
      </c>
    </row>
    <row r="54" spans="1:7">
      <c r="A54">
        <v>53</v>
      </c>
      <c r="B54" s="40" t="s">
        <v>241</v>
      </c>
      <c r="C54" s="40">
        <v>8</v>
      </c>
      <c r="D54" s="2">
        <f t="shared" si="0"/>
        <v>10</v>
      </c>
      <c r="E54" s="40">
        <v>2</v>
      </c>
      <c r="F54" t="s">
        <v>240</v>
      </c>
      <c r="G54" s="40" t="s">
        <v>25</v>
      </c>
    </row>
    <row r="55" spans="1:7">
      <c r="A55">
        <v>54</v>
      </c>
      <c r="B55" s="40" t="s">
        <v>242</v>
      </c>
      <c r="C55" s="40">
        <v>8</v>
      </c>
      <c r="D55" s="2">
        <f t="shared" si="0"/>
        <v>10</v>
      </c>
      <c r="E55" s="40">
        <v>2</v>
      </c>
      <c r="F55" t="s">
        <v>243</v>
      </c>
      <c r="G55" s="40" t="s">
        <v>100</v>
      </c>
    </row>
    <row r="56" spans="1:7">
      <c r="A56">
        <v>55</v>
      </c>
      <c r="B56" s="40" t="s">
        <v>244</v>
      </c>
      <c r="C56" s="40">
        <v>7</v>
      </c>
      <c r="D56" s="2">
        <f t="shared" si="0"/>
        <v>8.75</v>
      </c>
      <c r="E56" s="40">
        <v>2</v>
      </c>
      <c r="F56" t="s">
        <v>245</v>
      </c>
      <c r="G56" s="40" t="s">
        <v>38</v>
      </c>
    </row>
    <row r="57" spans="1:7">
      <c r="A57">
        <v>56</v>
      </c>
      <c r="B57" s="40" t="s">
        <v>246</v>
      </c>
      <c r="C57" s="40">
        <v>6</v>
      </c>
      <c r="D57" s="2">
        <f t="shared" si="0"/>
        <v>7.5</v>
      </c>
      <c r="E57" s="40">
        <v>2</v>
      </c>
      <c r="F57" t="s">
        <v>247</v>
      </c>
      <c r="G57" s="40" t="s">
        <v>133</v>
      </c>
    </row>
    <row r="58" spans="1:7">
      <c r="A58">
        <v>57</v>
      </c>
      <c r="B58" s="40" t="s">
        <v>248</v>
      </c>
      <c r="C58" s="40">
        <v>6</v>
      </c>
      <c r="D58" s="2">
        <f t="shared" si="0"/>
        <v>7.5</v>
      </c>
      <c r="E58" s="40">
        <v>2</v>
      </c>
      <c r="F58" t="s">
        <v>249</v>
      </c>
      <c r="G58" s="40" t="s">
        <v>94</v>
      </c>
    </row>
    <row r="59" spans="1:7">
      <c r="A59">
        <v>58</v>
      </c>
      <c r="B59" s="40" t="s">
        <v>250</v>
      </c>
      <c r="C59" s="40">
        <v>5</v>
      </c>
      <c r="D59" s="2">
        <f t="shared" si="0"/>
        <v>6.25</v>
      </c>
      <c r="E59" s="40">
        <v>1</v>
      </c>
      <c r="F59" t="s">
        <v>251</v>
      </c>
      <c r="G59" s="40" t="s">
        <v>13</v>
      </c>
    </row>
    <row r="60" spans="1:7">
      <c r="A60">
        <v>59</v>
      </c>
      <c r="B60" s="40" t="s">
        <v>252</v>
      </c>
      <c r="C60" s="40">
        <v>5</v>
      </c>
      <c r="D60" s="2">
        <f t="shared" si="0"/>
        <v>6.25</v>
      </c>
      <c r="E60" s="40">
        <v>1</v>
      </c>
      <c r="F60" t="s">
        <v>253</v>
      </c>
      <c r="G60" s="40" t="s">
        <v>13</v>
      </c>
    </row>
    <row r="61" spans="1:7">
      <c r="A61">
        <v>60</v>
      </c>
      <c r="B61" s="40" t="s">
        <v>254</v>
      </c>
      <c r="C61" s="40">
        <v>5</v>
      </c>
      <c r="D61" s="2">
        <f t="shared" si="0"/>
        <v>6.25</v>
      </c>
      <c r="E61" s="40">
        <v>1</v>
      </c>
      <c r="F61" t="s">
        <v>255</v>
      </c>
      <c r="G61" s="40" t="s">
        <v>25</v>
      </c>
    </row>
    <row r="62" spans="1:7">
      <c r="A62">
        <v>61</v>
      </c>
      <c r="B62" s="40" t="s">
        <v>256</v>
      </c>
      <c r="C62" s="40">
        <v>5</v>
      </c>
      <c r="D62" s="2">
        <f t="shared" si="0"/>
        <v>6.25</v>
      </c>
      <c r="E62" s="40">
        <v>1</v>
      </c>
      <c r="F62" t="s">
        <v>257</v>
      </c>
      <c r="G62" s="40" t="s">
        <v>67</v>
      </c>
    </row>
    <row r="63" spans="1:7">
      <c r="A63">
        <v>62</v>
      </c>
      <c r="B63" s="40" t="s">
        <v>258</v>
      </c>
      <c r="C63" s="40">
        <v>5</v>
      </c>
      <c r="D63" s="2">
        <f t="shared" si="0"/>
        <v>6.25</v>
      </c>
      <c r="E63" s="40">
        <v>1</v>
      </c>
      <c r="F63" t="s">
        <v>251</v>
      </c>
      <c r="G63" s="40" t="s">
        <v>62</v>
      </c>
    </row>
    <row r="64" spans="1:7">
      <c r="A64">
        <v>63</v>
      </c>
      <c r="B64" s="40" t="s">
        <v>259</v>
      </c>
      <c r="C64" s="40">
        <v>4</v>
      </c>
      <c r="D64" s="2">
        <f t="shared" si="0"/>
        <v>5</v>
      </c>
      <c r="E64" s="40">
        <v>1</v>
      </c>
      <c r="F64" t="s">
        <v>260</v>
      </c>
      <c r="G64" s="40" t="s">
        <v>100</v>
      </c>
    </row>
    <row r="65" spans="1:7">
      <c r="A65">
        <v>64</v>
      </c>
      <c r="B65" s="40" t="s">
        <v>261</v>
      </c>
      <c r="C65" s="40">
        <v>4</v>
      </c>
      <c r="D65" s="2">
        <f t="shared" si="0"/>
        <v>5</v>
      </c>
      <c r="E65" s="40">
        <v>1</v>
      </c>
      <c r="F65" t="s">
        <v>262</v>
      </c>
      <c r="G65" s="40" t="s">
        <v>33</v>
      </c>
    </row>
    <row r="66" spans="1:7">
      <c r="A66">
        <v>65</v>
      </c>
      <c r="B66" s="40" t="s">
        <v>263</v>
      </c>
      <c r="C66" s="40">
        <v>4</v>
      </c>
      <c r="D66" s="2">
        <f t="shared" si="0"/>
        <v>5</v>
      </c>
      <c r="E66" s="40">
        <v>1</v>
      </c>
      <c r="F66" t="s">
        <v>264</v>
      </c>
      <c r="G66" s="40" t="s">
        <v>67</v>
      </c>
    </row>
    <row r="67" spans="1:7">
      <c r="A67">
        <v>66</v>
      </c>
      <c r="B67" s="40" t="s">
        <v>265</v>
      </c>
      <c r="C67" s="40">
        <v>4</v>
      </c>
      <c r="D67" s="2">
        <f t="shared" si="0"/>
        <v>5</v>
      </c>
      <c r="E67" s="40">
        <v>1</v>
      </c>
      <c r="F67" t="s">
        <v>266</v>
      </c>
      <c r="G67" s="40" t="s">
        <v>9</v>
      </c>
    </row>
    <row r="68" spans="1:7">
      <c r="A68">
        <v>67</v>
      </c>
      <c r="B68" s="40" t="s">
        <v>267</v>
      </c>
      <c r="C68" s="40">
        <v>4</v>
      </c>
      <c r="D68" s="2">
        <f t="shared" ref="D68:D80" si="1">(C68/80)*100</f>
        <v>5</v>
      </c>
      <c r="E68" s="40">
        <v>1</v>
      </c>
      <c r="F68" t="s">
        <v>268</v>
      </c>
      <c r="G68" s="40" t="s">
        <v>62</v>
      </c>
    </row>
    <row r="69" spans="1:7">
      <c r="A69">
        <v>68</v>
      </c>
      <c r="B69" s="40" t="s">
        <v>269</v>
      </c>
      <c r="C69" s="40">
        <v>4</v>
      </c>
      <c r="D69" s="2">
        <f t="shared" si="1"/>
        <v>5</v>
      </c>
      <c r="E69" s="40">
        <v>1</v>
      </c>
      <c r="F69" t="s">
        <v>266</v>
      </c>
      <c r="G69" s="40" t="s">
        <v>9</v>
      </c>
    </row>
    <row r="70" spans="1:7">
      <c r="A70">
        <v>69</v>
      </c>
      <c r="B70" s="40" t="s">
        <v>62</v>
      </c>
      <c r="C70" s="40">
        <v>4</v>
      </c>
      <c r="D70" s="2">
        <f t="shared" si="1"/>
        <v>5</v>
      </c>
      <c r="E70" s="40">
        <v>1</v>
      </c>
      <c r="F70" t="s">
        <v>270</v>
      </c>
      <c r="G70" s="40" t="s">
        <v>62</v>
      </c>
    </row>
    <row r="71" spans="1:7">
      <c r="A71">
        <v>70</v>
      </c>
      <c r="B71" s="40" t="s">
        <v>113</v>
      </c>
      <c r="C71" s="40">
        <v>4</v>
      </c>
      <c r="D71" s="2">
        <f t="shared" si="1"/>
        <v>5</v>
      </c>
      <c r="E71" s="40">
        <v>1</v>
      </c>
      <c r="F71" t="s">
        <v>271</v>
      </c>
      <c r="G71" s="40" t="s">
        <v>38</v>
      </c>
    </row>
    <row r="72" spans="1:7">
      <c r="A72">
        <v>71</v>
      </c>
      <c r="B72" s="40" t="s">
        <v>272</v>
      </c>
      <c r="C72" s="40">
        <v>4</v>
      </c>
      <c r="D72" s="2">
        <f t="shared" si="1"/>
        <v>5</v>
      </c>
      <c r="E72" s="40">
        <v>1</v>
      </c>
      <c r="F72" t="s">
        <v>251</v>
      </c>
      <c r="G72" s="40" t="s">
        <v>28</v>
      </c>
    </row>
    <row r="73" spans="1:7">
      <c r="A73">
        <v>72</v>
      </c>
      <c r="B73" s="40" t="s">
        <v>273</v>
      </c>
      <c r="C73" s="40">
        <v>3</v>
      </c>
      <c r="D73" s="2">
        <f t="shared" si="1"/>
        <v>3.75</v>
      </c>
      <c r="E73" s="40">
        <v>1</v>
      </c>
      <c r="F73" t="s">
        <v>274</v>
      </c>
      <c r="G73" s="40" t="s">
        <v>9</v>
      </c>
    </row>
    <row r="74" spans="1:7">
      <c r="A74">
        <v>73</v>
      </c>
      <c r="B74" s="40" t="s">
        <v>275</v>
      </c>
      <c r="C74" s="40">
        <v>3</v>
      </c>
      <c r="D74" s="2">
        <f t="shared" si="1"/>
        <v>3.75</v>
      </c>
      <c r="E74" s="40">
        <v>1</v>
      </c>
      <c r="F74" t="s">
        <v>270</v>
      </c>
      <c r="G74" s="40" t="s">
        <v>133</v>
      </c>
    </row>
    <row r="75" spans="1:7">
      <c r="A75">
        <v>74</v>
      </c>
      <c r="B75" s="40" t="s">
        <v>276</v>
      </c>
      <c r="C75" s="40">
        <v>3</v>
      </c>
      <c r="D75" s="2">
        <f t="shared" si="1"/>
        <v>3.75</v>
      </c>
      <c r="E75" s="40">
        <v>1</v>
      </c>
      <c r="F75" t="s">
        <v>260</v>
      </c>
      <c r="G75" s="40" t="s">
        <v>94</v>
      </c>
    </row>
    <row r="76" spans="1:7">
      <c r="A76">
        <v>75</v>
      </c>
      <c r="B76" s="40" t="s">
        <v>277</v>
      </c>
      <c r="C76" s="40">
        <v>3</v>
      </c>
      <c r="D76" s="2">
        <f t="shared" si="1"/>
        <v>3.75</v>
      </c>
      <c r="E76" s="40">
        <v>1</v>
      </c>
      <c r="F76" t="s">
        <v>260</v>
      </c>
      <c r="G76" s="40" t="s">
        <v>94</v>
      </c>
    </row>
    <row r="77" spans="1:7">
      <c r="A77">
        <v>76</v>
      </c>
      <c r="B77" s="40" t="s">
        <v>278</v>
      </c>
      <c r="C77" s="40">
        <v>3</v>
      </c>
      <c r="D77" s="2">
        <f t="shared" si="1"/>
        <v>3.75</v>
      </c>
      <c r="E77" s="40">
        <v>1</v>
      </c>
      <c r="F77" t="s">
        <v>268</v>
      </c>
      <c r="G77" s="40" t="s">
        <v>28</v>
      </c>
    </row>
    <row r="78" spans="1:7">
      <c r="A78">
        <v>77</v>
      </c>
      <c r="B78" s="40" t="s">
        <v>279</v>
      </c>
      <c r="C78" s="40">
        <v>2</v>
      </c>
      <c r="D78" s="2">
        <f t="shared" si="1"/>
        <v>2.5</v>
      </c>
      <c r="E78" s="40">
        <v>1</v>
      </c>
      <c r="F78" t="s">
        <v>280</v>
      </c>
      <c r="G78" s="40" t="s">
        <v>133</v>
      </c>
    </row>
    <row r="79" spans="1:7">
      <c r="A79">
        <v>78</v>
      </c>
      <c r="B79" s="40" t="s">
        <v>281</v>
      </c>
      <c r="C79" s="40">
        <v>2</v>
      </c>
      <c r="D79" s="2">
        <f t="shared" si="1"/>
        <v>2.5</v>
      </c>
      <c r="E79" s="40">
        <v>1</v>
      </c>
      <c r="F79" t="s">
        <v>280</v>
      </c>
      <c r="G79" s="40" t="s">
        <v>25</v>
      </c>
    </row>
    <row r="80" spans="1:7">
      <c r="A80">
        <v>79</v>
      </c>
      <c r="B80" s="40" t="s">
        <v>282</v>
      </c>
      <c r="C80" s="40">
        <v>2</v>
      </c>
      <c r="D80" s="2">
        <f t="shared" si="1"/>
        <v>2.5</v>
      </c>
      <c r="E80" s="40">
        <v>1</v>
      </c>
      <c r="F80" t="s">
        <v>280</v>
      </c>
      <c r="G80" s="40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BA65-92F9-4003-918A-A8E804F20BF1}">
  <dimension ref="A1:Q104"/>
  <sheetViews>
    <sheetView topLeftCell="A83" workbookViewId="0">
      <selection activeCell="A88" sqref="A88:A92"/>
    </sheetView>
  </sheetViews>
  <sheetFormatPr defaultRowHeight="15"/>
  <cols>
    <col min="2" max="2" width="50.140625" customWidth="1"/>
    <col min="11" max="11" width="36.42578125" customWidth="1"/>
  </cols>
  <sheetData>
    <row r="1" spans="1:17" ht="15.75">
      <c r="A1" s="48" t="s">
        <v>283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7">
      <c r="A2" s="45" t="s">
        <v>284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5" spans="1:17">
      <c r="A5" s="45" t="s">
        <v>285</v>
      </c>
      <c r="B5" s="45"/>
      <c r="C5" s="45"/>
      <c r="D5" s="45"/>
      <c r="E5" s="45"/>
      <c r="F5" s="45"/>
      <c r="J5" s="45" t="s">
        <v>286</v>
      </c>
      <c r="K5" s="45"/>
      <c r="L5" s="45"/>
      <c r="M5" s="45"/>
      <c r="N5" s="45"/>
      <c r="O5" s="45"/>
      <c r="P5" s="45"/>
      <c r="Q5" s="45"/>
    </row>
    <row r="6" spans="1:17">
      <c r="A6" t="s">
        <v>287</v>
      </c>
      <c r="B6" t="s">
        <v>288</v>
      </c>
      <c r="C6" t="s">
        <v>289</v>
      </c>
      <c r="E6" t="s">
        <v>290</v>
      </c>
      <c r="J6" t="s">
        <v>291</v>
      </c>
      <c r="K6" t="s">
        <v>1</v>
      </c>
      <c r="L6" t="s">
        <v>289</v>
      </c>
      <c r="N6" t="s">
        <v>290</v>
      </c>
    </row>
    <row r="7" spans="1:17">
      <c r="A7">
        <f>_xlfn.RANK.EQ(C7,$C$7:$C$99,0)</f>
        <v>1</v>
      </c>
      <c r="B7" t="str">
        <f>Industry_Skillset!B2</f>
        <v>Python</v>
      </c>
      <c r="C7" s="47">
        <f>Industry_Skillset!C2</f>
        <v>117</v>
      </c>
      <c r="D7" s="47"/>
      <c r="E7" s="46">
        <f>C7/130</f>
        <v>0.9</v>
      </c>
      <c r="F7" s="46"/>
      <c r="J7">
        <f>_xlfn.RANK.EQ(L7,$L$7:$L$90,0)</f>
        <v>1</v>
      </c>
      <c r="K7" t="str">
        <f>Curriculum_Skillset!B2</f>
        <v>Statistics</v>
      </c>
      <c r="L7" s="47">
        <f>Curriculum_Skillset!C2</f>
        <v>80</v>
      </c>
      <c r="M7" s="47"/>
      <c r="N7" s="46">
        <f>L7/80</f>
        <v>1</v>
      </c>
      <c r="O7" s="46"/>
    </row>
    <row r="8" spans="1:17">
      <c r="A8">
        <f t="shared" ref="A8:A71" si="0">_xlfn.RANK.EQ(C8,$C$7:$C$99,0)</f>
        <v>2</v>
      </c>
      <c r="B8" t="str">
        <f>Industry_Skillset!B3</f>
        <v>Communication &amp; Collaboration</v>
      </c>
      <c r="C8" s="47">
        <f>Industry_Skillset!C3</f>
        <v>110</v>
      </c>
      <c r="D8" s="47"/>
      <c r="E8" s="46">
        <f t="shared" ref="E8:E71" si="1">C8/130</f>
        <v>0.84615384615384615</v>
      </c>
      <c r="F8" s="46"/>
      <c r="J8">
        <f t="shared" ref="J8:J71" si="2">_xlfn.RANK.EQ(L8,$L$7:$L$90,0)</f>
        <v>2</v>
      </c>
      <c r="K8" t="str">
        <f>Curriculum_Skillset!B3</f>
        <v>Python</v>
      </c>
      <c r="L8" s="47">
        <f>Curriculum_Skillset!C3</f>
        <v>79</v>
      </c>
      <c r="M8" s="47"/>
      <c r="N8" s="46">
        <f t="shared" ref="N8:N71" si="3">L8/80</f>
        <v>0.98750000000000004</v>
      </c>
      <c r="O8" s="46"/>
    </row>
    <row r="9" spans="1:17">
      <c r="A9">
        <f t="shared" si="0"/>
        <v>3</v>
      </c>
      <c r="B9" t="str">
        <f>Industry_Skillset!B4</f>
        <v>Machine Learning</v>
      </c>
      <c r="C9" s="47">
        <f>Industry_Skillset!C4</f>
        <v>107</v>
      </c>
      <c r="D9" s="47"/>
      <c r="E9" s="46">
        <f t="shared" si="1"/>
        <v>0.82307692307692304</v>
      </c>
      <c r="F9" s="46"/>
      <c r="J9">
        <f t="shared" si="2"/>
        <v>3</v>
      </c>
      <c r="K9" t="str">
        <f>Curriculum_Skillset!B4</f>
        <v>Machine Learning</v>
      </c>
      <c r="L9" s="47">
        <f>Curriculum_Skillset!C4</f>
        <v>75</v>
      </c>
      <c r="M9" s="47"/>
      <c r="N9" s="46">
        <f t="shared" si="3"/>
        <v>0.9375</v>
      </c>
      <c r="O9" s="46"/>
    </row>
    <row r="10" spans="1:17">
      <c r="A10">
        <f t="shared" si="0"/>
        <v>4</v>
      </c>
      <c r="B10" t="str">
        <f>Industry_Skillset!B5</f>
        <v>Analytical Thinking &amp; Problem Solving</v>
      </c>
      <c r="C10" s="47">
        <f>Industry_Skillset!C5</f>
        <v>100</v>
      </c>
      <c r="D10" s="47"/>
      <c r="E10" s="46">
        <f t="shared" si="1"/>
        <v>0.76923076923076927</v>
      </c>
      <c r="F10" s="46"/>
      <c r="J10">
        <f t="shared" si="2"/>
        <v>4</v>
      </c>
      <c r="K10" t="str">
        <f>Curriculum_Skillset!B5</f>
        <v>Data Structures</v>
      </c>
      <c r="L10" s="47">
        <f>Curriculum_Skillset!C5</f>
        <v>72</v>
      </c>
      <c r="M10" s="47"/>
      <c r="N10" s="46">
        <f t="shared" si="3"/>
        <v>0.9</v>
      </c>
      <c r="O10" s="46"/>
    </row>
    <row r="11" spans="1:17">
      <c r="A11">
        <f t="shared" si="0"/>
        <v>5</v>
      </c>
      <c r="B11" t="str">
        <f>Industry_Skillset!B6</f>
        <v>SQL</v>
      </c>
      <c r="C11" s="47">
        <f>Industry_Skillset!C6</f>
        <v>69</v>
      </c>
      <c r="D11" s="47"/>
      <c r="E11" s="46">
        <f t="shared" si="1"/>
        <v>0.53076923076923077</v>
      </c>
      <c r="F11" s="46"/>
      <c r="J11">
        <f t="shared" si="2"/>
        <v>5</v>
      </c>
      <c r="K11" t="str">
        <f>Curriculum_Skillset!B6</f>
        <v>Deep Learning</v>
      </c>
      <c r="L11" s="47">
        <f>Curriculum_Skillset!C6</f>
        <v>63</v>
      </c>
      <c r="M11" s="47"/>
      <c r="N11" s="46">
        <f t="shared" si="3"/>
        <v>0.78749999999999998</v>
      </c>
      <c r="O11" s="46"/>
    </row>
    <row r="12" spans="1:17">
      <c r="A12">
        <f t="shared" si="0"/>
        <v>6</v>
      </c>
      <c r="B12" t="str">
        <f>Industry_Skillset!B7</f>
        <v>Cloud Platforms (AWS / Azure / GCP)</v>
      </c>
      <c r="C12" s="47">
        <f>Industry_Skillset!C7</f>
        <v>63</v>
      </c>
      <c r="D12" s="47"/>
      <c r="E12" s="46">
        <f t="shared" si="1"/>
        <v>0.48461538461538461</v>
      </c>
      <c r="F12" s="46"/>
      <c r="J12">
        <f t="shared" si="2"/>
        <v>6</v>
      </c>
      <c r="K12" t="str">
        <f>Curriculum_Skillset!B7</f>
        <v>Data Mining</v>
      </c>
      <c r="L12" s="47">
        <f>Curriculum_Skillset!C7</f>
        <v>61</v>
      </c>
      <c r="M12" s="47"/>
      <c r="N12" s="46">
        <f t="shared" si="3"/>
        <v>0.76249999999999996</v>
      </c>
      <c r="O12" s="46"/>
    </row>
    <row r="13" spans="1:17">
      <c r="A13">
        <f t="shared" si="0"/>
        <v>7</v>
      </c>
      <c r="B13" t="str">
        <f>Industry_Skillset!B8</f>
        <v>Scikit-learn / NumPy / Pandas</v>
      </c>
      <c r="C13" s="47">
        <f>Industry_Skillset!C8</f>
        <v>62</v>
      </c>
      <c r="D13" s="47"/>
      <c r="E13" s="46">
        <f t="shared" si="1"/>
        <v>0.47692307692307695</v>
      </c>
      <c r="F13" s="46"/>
      <c r="J13">
        <f t="shared" si="2"/>
        <v>6</v>
      </c>
      <c r="K13" t="str">
        <f>Curriculum_Skillset!B8</f>
        <v>Artificial Intelligence</v>
      </c>
      <c r="L13" s="47">
        <f>Curriculum_Skillset!C8</f>
        <v>61</v>
      </c>
      <c r="M13" s="47"/>
      <c r="N13" s="46">
        <f t="shared" si="3"/>
        <v>0.76249999999999996</v>
      </c>
      <c r="O13" s="46"/>
    </row>
    <row r="14" spans="1:17">
      <c r="A14">
        <f t="shared" si="0"/>
        <v>7</v>
      </c>
      <c r="B14" t="str">
        <f>Industry_Skillset!B9</f>
        <v>Statistical Analysis</v>
      </c>
      <c r="C14" s="47">
        <f>Industry_Skillset!C9</f>
        <v>62</v>
      </c>
      <c r="D14" s="47"/>
      <c r="E14" s="46">
        <f t="shared" si="1"/>
        <v>0.47692307692307695</v>
      </c>
      <c r="F14" s="46"/>
      <c r="J14">
        <f t="shared" si="2"/>
        <v>6</v>
      </c>
      <c r="K14" t="str">
        <f>Curriculum_Skillset!B9</f>
        <v>Probability</v>
      </c>
      <c r="L14" s="47">
        <f>Curriculum_Skillset!C9</f>
        <v>61</v>
      </c>
      <c r="M14" s="47"/>
      <c r="N14" s="46">
        <f t="shared" si="3"/>
        <v>0.76249999999999996</v>
      </c>
      <c r="O14" s="46"/>
    </row>
    <row r="15" spans="1:17">
      <c r="A15">
        <f t="shared" si="0"/>
        <v>9</v>
      </c>
      <c r="B15" t="str">
        <f>Industry_Skillset!B10</f>
        <v>Large Language Models (LLMs)</v>
      </c>
      <c r="C15" s="47">
        <f>Industry_Skillset!C10</f>
        <v>48</v>
      </c>
      <c r="D15" s="47"/>
      <c r="E15" s="46">
        <f t="shared" si="1"/>
        <v>0.36923076923076925</v>
      </c>
      <c r="F15" s="46"/>
      <c r="J15">
        <f t="shared" si="2"/>
        <v>9</v>
      </c>
      <c r="K15" t="str">
        <f>Curriculum_Skillset!B10</f>
        <v>Natural Language Processing</v>
      </c>
      <c r="L15" s="47">
        <f>Curriculum_Skillset!C10</f>
        <v>56</v>
      </c>
      <c r="M15" s="47"/>
      <c r="N15" s="46">
        <f t="shared" si="3"/>
        <v>0.7</v>
      </c>
      <c r="O15" s="46"/>
    </row>
    <row r="16" spans="1:17">
      <c r="A16">
        <f t="shared" si="0"/>
        <v>10</v>
      </c>
      <c r="B16" t="str">
        <f>Industry_Skillset!B11</f>
        <v>Generative AI</v>
      </c>
      <c r="C16" s="47">
        <f>Industry_Skillset!C11</f>
        <v>45</v>
      </c>
      <c r="D16" s="47"/>
      <c r="E16" s="46">
        <f t="shared" si="1"/>
        <v>0.34615384615384615</v>
      </c>
      <c r="F16" s="46"/>
      <c r="J16">
        <f t="shared" si="2"/>
        <v>9</v>
      </c>
      <c r="K16" t="str">
        <f>Curriculum_Skillset!B11</f>
        <v>Data Analytics</v>
      </c>
      <c r="L16" s="47">
        <f>Curriculum_Skillset!C11</f>
        <v>56</v>
      </c>
      <c r="M16" s="47"/>
      <c r="N16" s="46">
        <f t="shared" si="3"/>
        <v>0.7</v>
      </c>
      <c r="O16" s="46"/>
    </row>
    <row r="17" spans="1:15">
      <c r="A17">
        <f t="shared" si="0"/>
        <v>11</v>
      </c>
      <c r="B17" t="str">
        <f>Industry_Skillset!B12</f>
        <v>PyTorch</v>
      </c>
      <c r="C17" s="47">
        <f>Industry_Skillset!C12</f>
        <v>44</v>
      </c>
      <c r="D17" s="47"/>
      <c r="E17" s="46">
        <f t="shared" si="1"/>
        <v>0.33846153846153848</v>
      </c>
      <c r="F17" s="46"/>
      <c r="J17">
        <f t="shared" si="2"/>
        <v>11</v>
      </c>
      <c r="K17" t="str">
        <f>Curriculum_Skillset!B12</f>
        <v>Database Management Systems</v>
      </c>
      <c r="L17" s="47">
        <f>Curriculum_Skillset!C12</f>
        <v>49</v>
      </c>
      <c r="M17" s="47"/>
      <c r="N17" s="46">
        <f t="shared" si="3"/>
        <v>0.61250000000000004</v>
      </c>
      <c r="O17" s="46"/>
    </row>
    <row r="18" spans="1:15">
      <c r="A18">
        <f t="shared" si="0"/>
        <v>12</v>
      </c>
      <c r="B18" t="str">
        <f>Industry_Skillset!B13</f>
        <v>TensorFlow / Keras</v>
      </c>
      <c r="C18" s="47">
        <f>Industry_Skillset!C13</f>
        <v>42</v>
      </c>
      <c r="D18" s="47"/>
      <c r="E18" s="46">
        <f t="shared" si="1"/>
        <v>0.32307692307692309</v>
      </c>
      <c r="F18" s="46"/>
      <c r="J18">
        <f t="shared" si="2"/>
        <v>12</v>
      </c>
      <c r="K18" t="str">
        <f>Curriculum_Skillset!B13</f>
        <v>Cloud Computing</v>
      </c>
      <c r="L18" s="47">
        <f>Curriculum_Skillset!C13</f>
        <v>46</v>
      </c>
      <c r="M18" s="47"/>
      <c r="N18" s="46">
        <f t="shared" si="3"/>
        <v>0.57499999999999996</v>
      </c>
      <c r="O18" s="46"/>
    </row>
    <row r="19" spans="1:15">
      <c r="A19">
        <f t="shared" si="0"/>
        <v>13</v>
      </c>
      <c r="B19" t="str">
        <f>Industry_Skillset!B14</f>
        <v>Data Visualization</v>
      </c>
      <c r="C19" s="47">
        <f>Industry_Skillset!C14</f>
        <v>39</v>
      </c>
      <c r="D19" s="47"/>
      <c r="E19" s="46">
        <f t="shared" si="1"/>
        <v>0.3</v>
      </c>
      <c r="F19" s="46"/>
      <c r="J19">
        <f t="shared" si="2"/>
        <v>12</v>
      </c>
      <c r="K19" t="str">
        <f>Curriculum_Skillset!B14</f>
        <v>Big Data</v>
      </c>
      <c r="L19" s="47">
        <f>Curriculum_Skillset!C14</f>
        <v>46</v>
      </c>
      <c r="M19" s="47"/>
      <c r="N19" s="46">
        <f t="shared" si="3"/>
        <v>0.57499999999999996</v>
      </c>
      <c r="O19" s="46"/>
    </row>
    <row r="20" spans="1:15">
      <c r="A20">
        <f t="shared" si="0"/>
        <v>13</v>
      </c>
      <c r="B20" t="str">
        <f>Industry_Skillset!B15</f>
        <v>Natural Language Processing (NLP)</v>
      </c>
      <c r="C20" s="47">
        <f>Industry_Skillset!C15</f>
        <v>39</v>
      </c>
      <c r="D20" s="47"/>
      <c r="E20" s="46">
        <f t="shared" si="1"/>
        <v>0.3</v>
      </c>
      <c r="F20" s="46"/>
      <c r="J20">
        <f t="shared" si="2"/>
        <v>14</v>
      </c>
      <c r="K20" t="str">
        <f>Curriculum_Skillset!B15</f>
        <v>Operating Systems</v>
      </c>
      <c r="L20" s="47">
        <f>Curriculum_Skillset!C15</f>
        <v>43</v>
      </c>
      <c r="M20" s="47"/>
      <c r="N20" s="46">
        <f t="shared" si="3"/>
        <v>0.53749999999999998</v>
      </c>
      <c r="O20" s="46"/>
    </row>
    <row r="21" spans="1:15">
      <c r="A21">
        <f t="shared" si="0"/>
        <v>15</v>
      </c>
      <c r="B21" t="str">
        <f>Industry_Skillset!B16</f>
        <v>Deep Learning</v>
      </c>
      <c r="C21" s="47">
        <f>Industry_Skillset!C16</f>
        <v>38</v>
      </c>
      <c r="D21" s="47"/>
      <c r="E21" s="46">
        <f t="shared" si="1"/>
        <v>0.29230769230769232</v>
      </c>
      <c r="F21" s="46"/>
      <c r="J21">
        <f t="shared" si="2"/>
        <v>15</v>
      </c>
      <c r="K21" t="str">
        <f>Curriculum_Skillset!B16</f>
        <v>Algorithms</v>
      </c>
      <c r="L21" s="47">
        <f>Curriculum_Skillset!C16</f>
        <v>38</v>
      </c>
      <c r="M21" s="47"/>
      <c r="N21" s="46">
        <f t="shared" si="3"/>
        <v>0.47499999999999998</v>
      </c>
      <c r="O21" s="46"/>
    </row>
    <row r="22" spans="1:15">
      <c r="A22">
        <f t="shared" si="0"/>
        <v>16</v>
      </c>
      <c r="B22" t="str">
        <f>Industry_Skillset!B17</f>
        <v>Feature Engineering</v>
      </c>
      <c r="C22" s="47">
        <f>Industry_Skillset!C17</f>
        <v>31</v>
      </c>
      <c r="D22" s="47"/>
      <c r="E22" s="46">
        <f t="shared" si="1"/>
        <v>0.23846153846153847</v>
      </c>
      <c r="F22" s="46"/>
      <c r="J22">
        <f t="shared" si="2"/>
        <v>16</v>
      </c>
      <c r="K22" t="str">
        <f>Curriculum_Skillset!B17</f>
        <v>Linear Algebra</v>
      </c>
      <c r="L22" s="47">
        <f>Curriculum_Skillset!C17</f>
        <v>37</v>
      </c>
      <c r="M22" s="47"/>
      <c r="N22" s="46">
        <f t="shared" si="3"/>
        <v>0.46250000000000002</v>
      </c>
      <c r="O22" s="46"/>
    </row>
    <row r="23" spans="1:15">
      <c r="A23">
        <f t="shared" si="0"/>
        <v>17</v>
      </c>
      <c r="B23" t="str">
        <f>Industry_Skillset!B18</f>
        <v>Prompt Engineering</v>
      </c>
      <c r="C23" s="47">
        <f>Industry_Skillset!C18</f>
        <v>28</v>
      </c>
      <c r="D23" s="47"/>
      <c r="E23" s="46">
        <f t="shared" si="1"/>
        <v>0.2153846153846154</v>
      </c>
      <c r="F23" s="46"/>
      <c r="J23">
        <f t="shared" si="2"/>
        <v>16</v>
      </c>
      <c r="K23" t="str">
        <f>Curriculum_Skillset!B18</f>
        <v>Regression Analysis</v>
      </c>
      <c r="L23" s="47">
        <f>Curriculum_Skillset!C18</f>
        <v>37</v>
      </c>
      <c r="M23" s="47"/>
      <c r="N23" s="46">
        <f t="shared" si="3"/>
        <v>0.46250000000000002</v>
      </c>
      <c r="O23" s="46"/>
    </row>
    <row r="24" spans="1:15">
      <c r="A24">
        <f t="shared" si="0"/>
        <v>18</v>
      </c>
      <c r="B24" t="str">
        <f>Industry_Skillset!B19</f>
        <v>Model Deployment &amp; Monitoring</v>
      </c>
      <c r="C24" s="47">
        <f>Industry_Skillset!C19</f>
        <v>25</v>
      </c>
      <c r="D24" s="47"/>
      <c r="E24" s="46">
        <f t="shared" si="1"/>
        <v>0.19230769230769232</v>
      </c>
      <c r="F24" s="46"/>
      <c r="J24">
        <f t="shared" si="2"/>
        <v>18</v>
      </c>
      <c r="K24" t="str">
        <f>Curriculum_Skillset!B19</f>
        <v>Data Visualization</v>
      </c>
      <c r="L24" s="47">
        <f>Curriculum_Skillset!C19</f>
        <v>35</v>
      </c>
      <c r="M24" s="47"/>
      <c r="N24" s="46">
        <f t="shared" si="3"/>
        <v>0.4375</v>
      </c>
      <c r="O24" s="46"/>
    </row>
    <row r="25" spans="1:15">
      <c r="A25">
        <f t="shared" si="0"/>
        <v>19</v>
      </c>
      <c r="B25" t="str">
        <f>Industry_Skillset!B20</f>
        <v>MLOps</v>
      </c>
      <c r="C25" s="47">
        <f>Industry_Skillset!C20</f>
        <v>24</v>
      </c>
      <c r="D25" s="47"/>
      <c r="E25" s="46">
        <f t="shared" si="1"/>
        <v>0.18461538461538463</v>
      </c>
      <c r="F25" s="46"/>
      <c r="J25">
        <f t="shared" si="2"/>
        <v>19</v>
      </c>
      <c r="K25" t="str">
        <f>Curriculum_Skillset!B20</f>
        <v>SQL</v>
      </c>
      <c r="L25" s="47">
        <f>Curriculum_Skillset!C20</f>
        <v>32</v>
      </c>
      <c r="M25" s="47"/>
      <c r="N25" s="46">
        <f t="shared" si="3"/>
        <v>0.4</v>
      </c>
      <c r="O25" s="46"/>
    </row>
    <row r="26" spans="1:15">
      <c r="A26">
        <f t="shared" si="0"/>
        <v>20</v>
      </c>
      <c r="B26" t="str">
        <f>Industry_Skillset!B21</f>
        <v>Data Preprocessing &amp; Cleaning</v>
      </c>
      <c r="C26" s="47">
        <f>Industry_Skillset!C21</f>
        <v>18</v>
      </c>
      <c r="D26" s="47"/>
      <c r="E26" s="46">
        <f t="shared" si="1"/>
        <v>0.13846153846153847</v>
      </c>
      <c r="F26" s="46"/>
      <c r="J26">
        <f t="shared" si="2"/>
        <v>20</v>
      </c>
      <c r="K26" t="str">
        <f>Curriculum_Skillset!B21</f>
        <v>Internet of Things (IoT)</v>
      </c>
      <c r="L26" s="47">
        <f>Curriculum_Skillset!C21</f>
        <v>28</v>
      </c>
      <c r="M26" s="47"/>
      <c r="N26" s="46">
        <f t="shared" si="3"/>
        <v>0.35</v>
      </c>
      <c r="O26" s="46"/>
    </row>
    <row r="27" spans="1:15">
      <c r="A27">
        <f t="shared" si="0"/>
        <v>21</v>
      </c>
      <c r="B27" t="str">
        <f>Industry_Skillset!B22</f>
        <v>RAG Pipelines &amp; Semantic Search</v>
      </c>
      <c r="C27" s="47">
        <f>Industry_Skillset!C22</f>
        <v>15</v>
      </c>
      <c r="D27" s="47"/>
      <c r="E27" s="46">
        <f t="shared" si="1"/>
        <v>0.11538461538461539</v>
      </c>
      <c r="F27" s="46"/>
      <c r="J27">
        <f t="shared" si="2"/>
        <v>21</v>
      </c>
      <c r="K27" t="str">
        <f>Curriculum_Skillset!B22</f>
        <v>Classification</v>
      </c>
      <c r="L27" s="47">
        <f>Curriculum_Skillset!C22</f>
        <v>27</v>
      </c>
      <c r="M27" s="47"/>
      <c r="N27" s="46">
        <f t="shared" si="3"/>
        <v>0.33750000000000002</v>
      </c>
      <c r="O27" s="46"/>
    </row>
    <row r="28" spans="1:15">
      <c r="A28">
        <f t="shared" si="0"/>
        <v>21</v>
      </c>
      <c r="B28" t="str">
        <f>Industry_Skillset!B23</f>
        <v>Time Series Forecasting</v>
      </c>
      <c r="C28" s="47">
        <f>Industry_Skillset!C23</f>
        <v>15</v>
      </c>
      <c r="D28" s="47"/>
      <c r="E28" s="46">
        <f t="shared" si="1"/>
        <v>0.11538461538461539</v>
      </c>
      <c r="F28" s="46"/>
      <c r="J28">
        <f t="shared" si="2"/>
        <v>22</v>
      </c>
      <c r="K28" t="str">
        <f>Curriculum_Skillset!B23</f>
        <v>Computer Vision</v>
      </c>
      <c r="L28" s="47">
        <f>Curriculum_Skillset!C23</f>
        <v>25</v>
      </c>
      <c r="M28" s="47"/>
      <c r="N28" s="46">
        <f t="shared" si="3"/>
        <v>0.3125</v>
      </c>
      <c r="O28" s="46"/>
    </row>
    <row r="29" spans="1:15">
      <c r="A29">
        <f t="shared" si="0"/>
        <v>23</v>
      </c>
      <c r="B29" t="str">
        <f>Industry_Skillset!B24</f>
        <v>Data Visualization &amp; Dashboards</v>
      </c>
      <c r="C29" s="47">
        <f>Industry_Skillset!C24</f>
        <v>14</v>
      </c>
      <c r="D29" s="47"/>
      <c r="E29" s="46">
        <f t="shared" si="1"/>
        <v>0.1076923076923077</v>
      </c>
      <c r="F29" s="46"/>
      <c r="J29">
        <f t="shared" si="2"/>
        <v>22</v>
      </c>
      <c r="K29" t="str">
        <f>Curriculum_Skillset!B24</f>
        <v>Computer Networks</v>
      </c>
      <c r="L29" s="47">
        <f>Curriculum_Skillset!C24</f>
        <v>25</v>
      </c>
      <c r="M29" s="47"/>
      <c r="N29" s="46">
        <f t="shared" si="3"/>
        <v>0.3125</v>
      </c>
      <c r="O29" s="46"/>
    </row>
    <row r="30" spans="1:15">
      <c r="A30">
        <f t="shared" si="0"/>
        <v>23</v>
      </c>
      <c r="B30" t="str">
        <f>Industry_Skillset!B25</f>
        <v>Experimentation &amp; A/B Testing</v>
      </c>
      <c r="C30" s="47">
        <f>Industry_Skillset!C25</f>
        <v>14</v>
      </c>
      <c r="D30" s="47"/>
      <c r="E30" s="46">
        <f t="shared" si="1"/>
        <v>0.1076923076923077</v>
      </c>
      <c r="F30" s="46"/>
      <c r="J30">
        <f t="shared" si="2"/>
        <v>22</v>
      </c>
      <c r="K30" t="str">
        <f>Curriculum_Skillset!B25</f>
        <v>Excel</v>
      </c>
      <c r="L30" s="47">
        <f>Curriculum_Skillset!C25</f>
        <v>25</v>
      </c>
      <c r="M30" s="47"/>
      <c r="N30" s="46">
        <f t="shared" si="3"/>
        <v>0.3125</v>
      </c>
      <c r="O30" s="46"/>
    </row>
    <row r="31" spans="1:15">
      <c r="A31">
        <f t="shared" si="0"/>
        <v>25</v>
      </c>
      <c r="B31" t="str">
        <f>Industry_Skillset!B26</f>
        <v>Git / Version Control</v>
      </c>
      <c r="C31" s="47">
        <f>Industry_Skillset!C26</f>
        <v>12</v>
      </c>
      <c r="D31" s="47"/>
      <c r="E31" s="46">
        <f t="shared" si="1"/>
        <v>9.2307692307692313E-2</v>
      </c>
      <c r="F31" s="46"/>
      <c r="J31">
        <f t="shared" si="2"/>
        <v>25</v>
      </c>
      <c r="K31" t="str">
        <f>Curriculum_Skillset!B26</f>
        <v>Big Data Analytics</v>
      </c>
      <c r="L31" s="47">
        <f>Curriculum_Skillset!C26</f>
        <v>24</v>
      </c>
      <c r="M31" s="47"/>
      <c r="N31" s="46">
        <f t="shared" si="3"/>
        <v>0.3</v>
      </c>
      <c r="O31" s="46"/>
    </row>
    <row r="32" spans="1:15">
      <c r="A32">
        <f t="shared" si="0"/>
        <v>26</v>
      </c>
      <c r="B32" t="str">
        <f>Industry_Skillset!B27</f>
        <v>Agentic AI Frameworks</v>
      </c>
      <c r="C32" s="47">
        <f>Industry_Skillset!C27</f>
        <v>11</v>
      </c>
      <c r="D32" s="47"/>
      <c r="E32" s="46">
        <f t="shared" si="1"/>
        <v>8.461538461538462E-2</v>
      </c>
      <c r="F32" s="46"/>
      <c r="J32">
        <f t="shared" si="2"/>
        <v>26</v>
      </c>
      <c r="K32" t="str">
        <f>Curriculum_Skillset!B27</f>
        <v>R Programming</v>
      </c>
      <c r="L32" s="47">
        <f>Curriculum_Skillset!C27</f>
        <v>23</v>
      </c>
      <c r="M32" s="47"/>
      <c r="N32" s="46">
        <f t="shared" si="3"/>
        <v>0.28749999999999998</v>
      </c>
      <c r="O32" s="46"/>
    </row>
    <row r="33" spans="1:15">
      <c r="A33">
        <f t="shared" si="0"/>
        <v>26</v>
      </c>
      <c r="B33" t="str">
        <f>Industry_Skillset!B28</f>
        <v>Data Pipelines &amp; Automation</v>
      </c>
      <c r="C33" s="47">
        <f>Industry_Skillset!C28</f>
        <v>11</v>
      </c>
      <c r="D33" s="47"/>
      <c r="E33" s="46">
        <f t="shared" si="1"/>
        <v>8.461538461538462E-2</v>
      </c>
      <c r="F33" s="46"/>
      <c r="J33">
        <f t="shared" si="2"/>
        <v>26</v>
      </c>
      <c r="K33" t="str">
        <f>Curriculum_Skillset!B28</f>
        <v>Cybersecurity</v>
      </c>
      <c r="L33" s="47">
        <f>Curriculum_Skillset!C28</f>
        <v>23</v>
      </c>
      <c r="M33" s="47"/>
      <c r="N33" s="46">
        <f t="shared" si="3"/>
        <v>0.28749999999999998</v>
      </c>
      <c r="O33" s="46"/>
    </row>
    <row r="34" spans="1:15">
      <c r="A34">
        <f t="shared" si="0"/>
        <v>26</v>
      </c>
      <c r="B34" t="str">
        <f>Industry_Skillset!B29</f>
        <v>Hypothesis Testing</v>
      </c>
      <c r="C34" s="47">
        <f>Industry_Skillset!C29</f>
        <v>11</v>
      </c>
      <c r="D34" s="47"/>
      <c r="E34" s="46">
        <f t="shared" si="1"/>
        <v>8.461538461538462E-2</v>
      </c>
      <c r="F34" s="46"/>
      <c r="J34">
        <f t="shared" si="2"/>
        <v>28</v>
      </c>
      <c r="K34" t="str">
        <f>Curriculum_Skillset!B29</f>
        <v>Neural Networks</v>
      </c>
      <c r="L34" s="47">
        <f>Curriculum_Skillset!C29</f>
        <v>22</v>
      </c>
      <c r="M34" s="47"/>
      <c r="N34" s="46">
        <f t="shared" si="3"/>
        <v>0.27500000000000002</v>
      </c>
      <c r="O34" s="46"/>
    </row>
    <row r="35" spans="1:15">
      <c r="A35">
        <f t="shared" si="0"/>
        <v>26</v>
      </c>
      <c r="B35" t="str">
        <f>Industry_Skillset!B30</f>
        <v>LLM Orchestration (LangChain / LangGraph / LlamaIndex)</v>
      </c>
      <c r="C35" s="47">
        <f>Industry_Skillset!C30</f>
        <v>11</v>
      </c>
      <c r="D35" s="47"/>
      <c r="E35" s="46">
        <f t="shared" si="1"/>
        <v>8.461538461538462E-2</v>
      </c>
      <c r="F35" s="46"/>
      <c r="J35">
        <f t="shared" si="2"/>
        <v>28</v>
      </c>
      <c r="K35" t="str">
        <f>Curriculum_Skillset!B30</f>
        <v>Clustering</v>
      </c>
      <c r="L35" s="47">
        <f>Curriculum_Skillset!C30</f>
        <v>22</v>
      </c>
      <c r="M35" s="47"/>
      <c r="N35" s="46">
        <f t="shared" si="3"/>
        <v>0.27500000000000002</v>
      </c>
      <c r="O35" s="46"/>
    </row>
    <row r="36" spans="1:15">
      <c r="A36">
        <f t="shared" si="0"/>
        <v>30</v>
      </c>
      <c r="B36" t="str">
        <f>Industry_Skillset!B31</f>
        <v>R Programming</v>
      </c>
      <c r="C36" s="47">
        <f>Industry_Skillset!C31</f>
        <v>10</v>
      </c>
      <c r="D36" s="47"/>
      <c r="E36" s="46">
        <f t="shared" si="1"/>
        <v>7.6923076923076927E-2</v>
      </c>
      <c r="F36" s="46"/>
      <c r="J36">
        <f t="shared" si="2"/>
        <v>30</v>
      </c>
      <c r="K36" t="str">
        <f>Curriculum_Skillset!B31</f>
        <v>Data Preprocessing/Wrangling</v>
      </c>
      <c r="L36" s="47">
        <f>Curriculum_Skillset!C31</f>
        <v>19</v>
      </c>
      <c r="M36" s="47"/>
      <c r="N36" s="46">
        <f t="shared" si="3"/>
        <v>0.23749999999999999</v>
      </c>
      <c r="O36" s="46"/>
    </row>
    <row r="37" spans="1:15">
      <c r="A37">
        <f t="shared" si="0"/>
        <v>31</v>
      </c>
      <c r="B37" t="str">
        <f>Industry_Skillset!B32</f>
        <v>Vector Databases &amp; Embeddings</v>
      </c>
      <c r="C37" s="47">
        <f>Industry_Skillset!C32</f>
        <v>9</v>
      </c>
      <c r="D37" s="47"/>
      <c r="E37" s="46">
        <f t="shared" si="1"/>
        <v>6.9230769230769235E-2</v>
      </c>
      <c r="F37" s="46"/>
      <c r="J37">
        <f t="shared" si="2"/>
        <v>31</v>
      </c>
      <c r="K37" t="str">
        <f>Curriculum_Skillset!B32</f>
        <v>Time Series Analysis</v>
      </c>
      <c r="L37" s="47">
        <f>Curriculum_Skillset!C32</f>
        <v>18</v>
      </c>
      <c r="M37" s="47"/>
      <c r="N37" s="46">
        <f t="shared" si="3"/>
        <v>0.22500000000000001</v>
      </c>
      <c r="O37" s="46"/>
    </row>
    <row r="38" spans="1:15">
      <c r="A38">
        <f t="shared" si="0"/>
        <v>32</v>
      </c>
      <c r="B38" t="str">
        <f>Industry_Skillset!B33</f>
        <v>Anomaly Detection</v>
      </c>
      <c r="C38" s="47">
        <f>Industry_Skillset!C33</f>
        <v>8</v>
      </c>
      <c r="D38" s="47"/>
      <c r="E38" s="46">
        <f t="shared" si="1"/>
        <v>6.1538461538461542E-2</v>
      </c>
      <c r="F38" s="46"/>
      <c r="J38">
        <f t="shared" si="2"/>
        <v>31</v>
      </c>
      <c r="K38" t="str">
        <f>Curriculum_Skillset!B33</f>
        <v>Graph Algorithms</v>
      </c>
      <c r="L38" s="47">
        <f>Curriculum_Skillset!C33</f>
        <v>18</v>
      </c>
      <c r="M38" s="47"/>
      <c r="N38" s="46">
        <f t="shared" si="3"/>
        <v>0.22500000000000001</v>
      </c>
      <c r="O38" s="46"/>
    </row>
    <row r="39" spans="1:15">
      <c r="A39">
        <f t="shared" si="0"/>
        <v>32</v>
      </c>
      <c r="B39" t="str">
        <f>Industry_Skillset!B34</f>
        <v>Communication &amp; Stakeholder Management</v>
      </c>
      <c r="C39" s="47">
        <f>Industry_Skillset!C34</f>
        <v>8</v>
      </c>
      <c r="D39" s="47"/>
      <c r="E39" s="46">
        <f t="shared" si="1"/>
        <v>6.1538461538461542E-2</v>
      </c>
      <c r="F39" s="46"/>
      <c r="J39">
        <f t="shared" si="2"/>
        <v>31</v>
      </c>
      <c r="K39" t="str">
        <f>Curriculum_Skillset!B34</f>
        <v>Object-Oriented Programming</v>
      </c>
      <c r="L39" s="47">
        <f>Curriculum_Skillset!C34</f>
        <v>18</v>
      </c>
      <c r="M39" s="47"/>
      <c r="N39" s="46">
        <f t="shared" si="3"/>
        <v>0.22500000000000001</v>
      </c>
      <c r="O39" s="46"/>
    </row>
    <row r="40" spans="1:15">
      <c r="A40">
        <f t="shared" si="0"/>
        <v>32</v>
      </c>
      <c r="B40" t="str">
        <f>Industry_Skillset!B35</f>
        <v>Docker / Kubernetes</v>
      </c>
      <c r="C40" s="47">
        <f>Industry_Skillset!C35</f>
        <v>8</v>
      </c>
      <c r="D40" s="47"/>
      <c r="E40" s="46">
        <f t="shared" si="1"/>
        <v>6.1538461538461542E-2</v>
      </c>
      <c r="F40" s="46"/>
      <c r="J40">
        <f t="shared" si="2"/>
        <v>34</v>
      </c>
      <c r="K40" t="str">
        <f>Curriculum_Skillset!B35</f>
        <v>Reinforcement Learning</v>
      </c>
      <c r="L40" s="47">
        <f>Curriculum_Skillset!C35</f>
        <v>15</v>
      </c>
      <c r="M40" s="47"/>
      <c r="N40" s="46">
        <f t="shared" si="3"/>
        <v>0.1875</v>
      </c>
      <c r="O40" s="46"/>
    </row>
    <row r="41" spans="1:15">
      <c r="A41">
        <f t="shared" si="0"/>
        <v>32</v>
      </c>
      <c r="B41" t="str">
        <f>Industry_Skillset!B36</f>
        <v>ETL / ELT Pipelines &amp; Data Pipelines</v>
      </c>
      <c r="C41" s="47">
        <f>Industry_Skillset!C36</f>
        <v>8</v>
      </c>
      <c r="D41" s="47"/>
      <c r="E41" s="46">
        <f t="shared" si="1"/>
        <v>6.1538461538461542E-2</v>
      </c>
      <c r="F41" s="46"/>
      <c r="J41">
        <f t="shared" si="2"/>
        <v>35</v>
      </c>
      <c r="K41" t="str">
        <f>Curriculum_Skillset!B36</f>
        <v>Data Warehousing</v>
      </c>
      <c r="L41" s="47">
        <f>Curriculum_Skillset!C36</f>
        <v>14</v>
      </c>
      <c r="M41" s="47"/>
      <c r="N41" s="46">
        <f t="shared" si="3"/>
        <v>0.17499999999999999</v>
      </c>
      <c r="O41" s="46"/>
    </row>
    <row r="42" spans="1:15">
      <c r="A42">
        <f t="shared" si="0"/>
        <v>32</v>
      </c>
      <c r="B42" t="str">
        <f>Industry_Skillset!B37</f>
        <v>Exploratory Data Analysis (EDA)</v>
      </c>
      <c r="C42" s="47">
        <f>Industry_Skillset!C37</f>
        <v>8</v>
      </c>
      <c r="D42" s="47"/>
      <c r="E42" s="46">
        <f t="shared" si="1"/>
        <v>6.1538461538461542E-2</v>
      </c>
      <c r="F42" s="46"/>
      <c r="J42">
        <f t="shared" si="2"/>
        <v>35</v>
      </c>
      <c r="K42" t="str">
        <f>Curriculum_Skillset!B37</f>
        <v>Decision Trees</v>
      </c>
      <c r="L42" s="47">
        <f>Curriculum_Skillset!C37</f>
        <v>14</v>
      </c>
      <c r="M42" s="47"/>
      <c r="N42" s="46">
        <f t="shared" si="3"/>
        <v>0.17499999999999999</v>
      </c>
      <c r="O42" s="46"/>
    </row>
    <row r="43" spans="1:15">
      <c r="A43">
        <f t="shared" si="0"/>
        <v>37</v>
      </c>
      <c r="B43" t="str">
        <f>Industry_Skillset!B38</f>
        <v>Big Data (Hadoop / Spark)</v>
      </c>
      <c r="C43" s="47">
        <f>Industry_Skillset!C38</f>
        <v>7</v>
      </c>
      <c r="D43" s="47"/>
      <c r="E43" s="46">
        <f t="shared" si="1"/>
        <v>5.3846153846153849E-2</v>
      </c>
      <c r="F43" s="46"/>
      <c r="J43">
        <f t="shared" si="2"/>
        <v>37</v>
      </c>
      <c r="K43" t="str">
        <f>Curriculum_Skillset!B38</f>
        <v>Blockchain</v>
      </c>
      <c r="L43" s="47">
        <f>Curriculum_Skillset!C38</f>
        <v>13</v>
      </c>
      <c r="M43" s="47"/>
      <c r="N43" s="46">
        <f t="shared" si="3"/>
        <v>0.16250000000000001</v>
      </c>
      <c r="O43" s="46"/>
    </row>
    <row r="44" spans="1:15">
      <c r="A44">
        <f t="shared" si="0"/>
        <v>38</v>
      </c>
      <c r="B44" t="str">
        <f>Industry_Skillset!B39</f>
        <v>A/B Testing</v>
      </c>
      <c r="C44" s="47">
        <f>Industry_Skillset!C39</f>
        <v>6</v>
      </c>
      <c r="D44" s="47"/>
      <c r="E44" s="46">
        <f t="shared" si="1"/>
        <v>4.6153846153846156E-2</v>
      </c>
      <c r="F44" s="46"/>
      <c r="J44">
        <f t="shared" si="2"/>
        <v>37</v>
      </c>
      <c r="K44" t="str">
        <f>Curriculum_Skillset!B39</f>
        <v>Cloud Platforms (AWS/Azure/GCP)</v>
      </c>
      <c r="L44" s="47">
        <f>Curriculum_Skillset!C39</f>
        <v>13</v>
      </c>
      <c r="M44" s="47"/>
      <c r="N44" s="46">
        <f t="shared" si="3"/>
        <v>0.16250000000000001</v>
      </c>
      <c r="O44" s="46"/>
    </row>
    <row r="45" spans="1:15">
      <c r="A45">
        <f t="shared" si="0"/>
        <v>39</v>
      </c>
      <c r="B45" t="str">
        <f>Industry_Skillset!B40</f>
        <v>PySpark</v>
      </c>
      <c r="C45" s="47">
        <f>Industry_Skillset!C40</f>
        <v>5</v>
      </c>
      <c r="D45" s="47"/>
      <c r="E45" s="46">
        <f t="shared" si="1"/>
        <v>3.8461538461538464E-2</v>
      </c>
      <c r="F45" s="46"/>
      <c r="J45">
        <f t="shared" si="2"/>
        <v>37</v>
      </c>
      <c r="K45" t="str">
        <f>Curriculum_Skillset!B40</f>
        <v>Java</v>
      </c>
      <c r="L45" s="47">
        <f>Curriculum_Skillset!C40</f>
        <v>13</v>
      </c>
      <c r="M45" s="47"/>
      <c r="N45" s="46">
        <f t="shared" si="3"/>
        <v>0.16250000000000001</v>
      </c>
      <c r="O45" s="46"/>
    </row>
    <row r="46" spans="1:15">
      <c r="A46">
        <f t="shared" si="0"/>
        <v>39</v>
      </c>
      <c r="B46" t="str">
        <f>Industry_Skillset!B41</f>
        <v>REST APIs &amp; Microservices</v>
      </c>
      <c r="C46" s="47">
        <f>Industry_Skillset!C41</f>
        <v>5</v>
      </c>
      <c r="D46" s="47"/>
      <c r="E46" s="46">
        <f t="shared" si="1"/>
        <v>3.8461538461538464E-2</v>
      </c>
      <c r="F46" s="46"/>
      <c r="J46">
        <f t="shared" si="2"/>
        <v>37</v>
      </c>
      <c r="K46" t="str">
        <f>Curriculum_Skillset!B41</f>
        <v>Optimization</v>
      </c>
      <c r="L46" s="47">
        <f>Curriculum_Skillset!C41</f>
        <v>13</v>
      </c>
      <c r="M46" s="47"/>
      <c r="N46" s="46">
        <f t="shared" si="3"/>
        <v>0.16250000000000001</v>
      </c>
      <c r="O46" s="46"/>
    </row>
    <row r="47" spans="1:15">
      <c r="A47">
        <f t="shared" si="0"/>
        <v>41</v>
      </c>
      <c r="B47" t="str">
        <f>Industry_Skillset!B42</f>
        <v>Artificial Intelligence</v>
      </c>
      <c r="C47" s="47">
        <f>Industry_Skillset!C42</f>
        <v>4</v>
      </c>
      <c r="D47" s="47"/>
      <c r="E47" s="46">
        <f t="shared" si="1"/>
        <v>3.0769230769230771E-2</v>
      </c>
      <c r="F47" s="46"/>
      <c r="J47">
        <f t="shared" si="2"/>
        <v>41</v>
      </c>
      <c r="K47" t="str">
        <f>Curriculum_Skillset!B42</f>
        <v>Calculus</v>
      </c>
      <c r="L47" s="47">
        <f>Curriculum_Skillset!C42</f>
        <v>12</v>
      </c>
      <c r="M47" s="47"/>
      <c r="N47" s="46">
        <f t="shared" si="3"/>
        <v>0.15</v>
      </c>
      <c r="O47" s="46"/>
    </row>
    <row r="48" spans="1:15">
      <c r="A48">
        <f t="shared" si="0"/>
        <v>41</v>
      </c>
      <c r="B48" t="str">
        <f>Industry_Skillset!B43</f>
        <v>CI/CD &amp; DevOps</v>
      </c>
      <c r="C48" s="47">
        <f>Industry_Skillset!C43</f>
        <v>4</v>
      </c>
      <c r="D48" s="47"/>
      <c r="E48" s="46">
        <f t="shared" si="1"/>
        <v>3.0769230769230771E-2</v>
      </c>
      <c r="F48" s="46"/>
      <c r="J48">
        <f t="shared" si="2"/>
        <v>42</v>
      </c>
      <c r="K48" t="str">
        <f>Curriculum_Skillset!B43</f>
        <v>Hadoop</v>
      </c>
      <c r="L48" s="47">
        <f>Curriculum_Skillset!C43</f>
        <v>11</v>
      </c>
      <c r="M48" s="47"/>
      <c r="N48" s="46">
        <f t="shared" si="3"/>
        <v>0.13750000000000001</v>
      </c>
      <c r="O48" s="46"/>
    </row>
    <row r="49" spans="1:15">
      <c r="A49">
        <f t="shared" si="0"/>
        <v>41</v>
      </c>
      <c r="B49" t="str">
        <f>Industry_Skillset!B44</f>
        <v>Customer Segmentation &amp; Propensity Modeling</v>
      </c>
      <c r="C49" s="47">
        <f>Industry_Skillset!C44</f>
        <v>4</v>
      </c>
      <c r="D49" s="47"/>
      <c r="E49" s="46">
        <f t="shared" si="1"/>
        <v>3.0769230769230771E-2</v>
      </c>
      <c r="F49" s="46"/>
      <c r="J49">
        <f t="shared" si="2"/>
        <v>43</v>
      </c>
      <c r="K49" t="str">
        <f>Curriculum_Skillset!B44</f>
        <v>Discrete Mathematics</v>
      </c>
      <c r="L49" s="47">
        <f>Curriculum_Skillset!C44</f>
        <v>10</v>
      </c>
      <c r="M49" s="47"/>
      <c r="N49" s="46">
        <f t="shared" si="3"/>
        <v>0.125</v>
      </c>
      <c r="O49" s="46"/>
    </row>
    <row r="50" spans="1:15">
      <c r="A50">
        <f t="shared" si="0"/>
        <v>41</v>
      </c>
      <c r="B50" t="str">
        <f>Industry_Skillset!B45</f>
        <v>Data Preprocessing &amp; Augmentation</v>
      </c>
      <c r="C50" s="47">
        <f>Industry_Skillset!C45</f>
        <v>4</v>
      </c>
      <c r="D50" s="47"/>
      <c r="E50" s="46">
        <f t="shared" si="1"/>
        <v>3.0769230769230771E-2</v>
      </c>
      <c r="F50" s="46"/>
      <c r="J50">
        <f t="shared" si="2"/>
        <v>43</v>
      </c>
      <c r="K50" t="str">
        <f>Curriculum_Skillset!B45</f>
        <v>Web Technologies</v>
      </c>
      <c r="L50" s="47">
        <f>Curriculum_Skillset!C45</f>
        <v>10</v>
      </c>
      <c r="M50" s="47"/>
      <c r="N50" s="46">
        <f t="shared" si="3"/>
        <v>0.125</v>
      </c>
      <c r="O50" s="46"/>
    </row>
    <row r="51" spans="1:15">
      <c r="A51">
        <f t="shared" si="0"/>
        <v>41</v>
      </c>
      <c r="B51" t="str">
        <f>Industry_Skillset!B46</f>
        <v>Hugging Face Transformers</v>
      </c>
      <c r="C51" s="47">
        <f>Industry_Skillset!C46</f>
        <v>4</v>
      </c>
      <c r="D51" s="47"/>
      <c r="E51" s="46">
        <f t="shared" si="1"/>
        <v>3.0769230769230771E-2</v>
      </c>
      <c r="F51" s="46"/>
      <c r="J51">
        <f t="shared" si="2"/>
        <v>43</v>
      </c>
      <c r="K51" t="str">
        <f>Curriculum_Skillset!B46</f>
        <v>Data Science</v>
      </c>
      <c r="L51" s="47">
        <f>Curriculum_Skillset!C46</f>
        <v>10</v>
      </c>
      <c r="M51" s="47"/>
      <c r="N51" s="46">
        <f t="shared" si="3"/>
        <v>0.125</v>
      </c>
      <c r="O51" s="46"/>
    </row>
    <row r="52" spans="1:15">
      <c r="A52">
        <f t="shared" si="0"/>
        <v>41</v>
      </c>
      <c r="B52" t="str">
        <f>Industry_Skillset!B47</f>
        <v>Model Deployment</v>
      </c>
      <c r="C52" s="47">
        <f>Industry_Skillset!C47</f>
        <v>4</v>
      </c>
      <c r="D52" s="47"/>
      <c r="E52" s="46">
        <f t="shared" si="1"/>
        <v>3.0769230769230771E-2</v>
      </c>
      <c r="F52" s="46"/>
      <c r="J52">
        <f t="shared" si="2"/>
        <v>43</v>
      </c>
      <c r="K52" t="str">
        <f>Curriculum_Skillset!B47</f>
        <v>Matrix Algebra</v>
      </c>
      <c r="L52" s="47">
        <f>Curriculum_Skillset!C47</f>
        <v>10</v>
      </c>
      <c r="M52" s="47"/>
      <c r="N52" s="46">
        <f t="shared" si="3"/>
        <v>0.125</v>
      </c>
      <c r="O52" s="46"/>
    </row>
    <row r="53" spans="1:15">
      <c r="A53">
        <f t="shared" si="0"/>
        <v>41</v>
      </c>
      <c r="B53" t="str">
        <f>Industry_Skillset!B48</f>
        <v>Model Evaluation</v>
      </c>
      <c r="C53" s="47">
        <f>Industry_Skillset!C48</f>
        <v>4</v>
      </c>
      <c r="D53" s="47"/>
      <c r="E53" s="46">
        <f t="shared" si="1"/>
        <v>3.0769230769230771E-2</v>
      </c>
      <c r="F53" s="46"/>
      <c r="J53">
        <f t="shared" si="2"/>
        <v>43</v>
      </c>
      <c r="K53" t="str">
        <f>Curriculum_Skillset!B48</f>
        <v>NoSQL</v>
      </c>
      <c r="L53" s="47">
        <f>Curriculum_Skillset!C48</f>
        <v>10</v>
      </c>
      <c r="M53" s="47"/>
      <c r="N53" s="46">
        <f t="shared" si="3"/>
        <v>0.125</v>
      </c>
      <c r="O53" s="46"/>
    </row>
    <row r="54" spans="1:15">
      <c r="A54">
        <f t="shared" si="0"/>
        <v>41</v>
      </c>
      <c r="B54" t="str">
        <f>Industry_Skillset!B49</f>
        <v>Multi-Agent Systems</v>
      </c>
      <c r="C54" s="47">
        <f>Industry_Skillset!C49</f>
        <v>4</v>
      </c>
      <c r="D54" s="47"/>
      <c r="E54" s="46">
        <f t="shared" si="1"/>
        <v>3.0769230769230771E-2</v>
      </c>
      <c r="F54" s="46"/>
      <c r="J54">
        <f t="shared" si="2"/>
        <v>48</v>
      </c>
      <c r="K54" t="str">
        <f>Curriculum_Skillset!B49</f>
        <v>Cryptography</v>
      </c>
      <c r="L54" s="47">
        <f>Curriculum_Skillset!C49</f>
        <v>9</v>
      </c>
      <c r="M54" s="47"/>
      <c r="N54" s="46">
        <f t="shared" si="3"/>
        <v>0.1125</v>
      </c>
      <c r="O54" s="46"/>
    </row>
    <row r="55" spans="1:15">
      <c r="A55">
        <f t="shared" si="0"/>
        <v>41</v>
      </c>
      <c r="B55" t="str">
        <f>Industry_Skillset!B50</f>
        <v>Predictive Modeling</v>
      </c>
      <c r="C55" s="47">
        <f>Industry_Skillset!C50</f>
        <v>4</v>
      </c>
      <c r="D55" s="47"/>
      <c r="E55" s="46">
        <f t="shared" si="1"/>
        <v>3.0769230769230771E-2</v>
      </c>
      <c r="F55" s="46"/>
      <c r="J55">
        <f t="shared" si="2"/>
        <v>48</v>
      </c>
      <c r="K55" t="str">
        <f>Curriculum_Skillset!B50</f>
        <v>Ethics</v>
      </c>
      <c r="L55" s="47">
        <f>Curriculum_Skillset!C50</f>
        <v>9</v>
      </c>
      <c r="M55" s="47"/>
      <c r="N55" s="46">
        <f t="shared" si="3"/>
        <v>0.1125</v>
      </c>
      <c r="O55" s="46"/>
    </row>
    <row r="56" spans="1:15">
      <c r="A56">
        <f t="shared" si="0"/>
        <v>41</v>
      </c>
      <c r="B56" t="str">
        <f>Industry_Skillset!B51</f>
        <v>Statistical Modeling</v>
      </c>
      <c r="C56" s="47">
        <f>Industry_Skillset!C51</f>
        <v>4</v>
      </c>
      <c r="D56" s="47"/>
      <c r="E56" s="46">
        <f t="shared" si="1"/>
        <v>3.0769230769230771E-2</v>
      </c>
      <c r="F56" s="46"/>
      <c r="J56">
        <f t="shared" si="2"/>
        <v>48</v>
      </c>
      <c r="K56" t="str">
        <f>Curriculum_Skillset!B51</f>
        <v>Support Vector Machines</v>
      </c>
      <c r="L56" s="47">
        <f>Curriculum_Skillset!C51</f>
        <v>9</v>
      </c>
      <c r="M56" s="47"/>
      <c r="N56" s="46">
        <f t="shared" si="3"/>
        <v>0.1125</v>
      </c>
      <c r="O56" s="46"/>
    </row>
    <row r="57" spans="1:15">
      <c r="A57">
        <f t="shared" si="0"/>
        <v>41</v>
      </c>
      <c r="B57" t="str">
        <f>Industry_Skillset!B52</f>
        <v>Supervised Learning</v>
      </c>
      <c r="C57" s="47">
        <f>Industry_Skillset!C52</f>
        <v>4</v>
      </c>
      <c r="D57" s="47"/>
      <c r="E57" s="46">
        <f t="shared" si="1"/>
        <v>3.0769230769230771E-2</v>
      </c>
      <c r="F57" s="46"/>
      <c r="J57">
        <f t="shared" si="2"/>
        <v>51</v>
      </c>
      <c r="K57" t="str">
        <f>Curriculum_Skillset!B52</f>
        <v>Generative AI</v>
      </c>
      <c r="L57" s="47">
        <f>Curriculum_Skillset!C52</f>
        <v>8</v>
      </c>
      <c r="M57" s="47"/>
      <c r="N57" s="46">
        <f t="shared" si="3"/>
        <v>0.1</v>
      </c>
      <c r="O57" s="46"/>
    </row>
    <row r="58" spans="1:15">
      <c r="A58">
        <f t="shared" si="0"/>
        <v>41</v>
      </c>
      <c r="B58" t="str">
        <f>Industry_Skillset!B53</f>
        <v>Tableau</v>
      </c>
      <c r="C58" s="47">
        <f>Industry_Skillset!C53</f>
        <v>4</v>
      </c>
      <c r="D58" s="47"/>
      <c r="E58" s="46">
        <f t="shared" si="1"/>
        <v>3.0769230769230771E-2</v>
      </c>
      <c r="F58" s="46"/>
      <c r="J58">
        <f t="shared" si="2"/>
        <v>51</v>
      </c>
      <c r="K58" t="str">
        <f>Curriculum_Skillset!B53</f>
        <v>Distributed Computing</v>
      </c>
      <c r="L58" s="47">
        <f>Curriculum_Skillset!C53</f>
        <v>8</v>
      </c>
      <c r="M58" s="47"/>
      <c r="N58" s="46">
        <f t="shared" si="3"/>
        <v>0.1</v>
      </c>
      <c r="O58" s="46"/>
    </row>
    <row r="59" spans="1:15">
      <c r="A59">
        <f t="shared" si="0"/>
        <v>53</v>
      </c>
      <c r="B59" t="str">
        <f>Industry_Skillset!B54</f>
        <v>Agent Evaluation Frameworks (RAGAS / LLM-as-Judge)</v>
      </c>
      <c r="C59" s="47">
        <f>Industry_Skillset!C54</f>
        <v>3</v>
      </c>
      <c r="D59" s="47"/>
      <c r="E59" s="46">
        <f t="shared" si="1"/>
        <v>2.3076923076923078E-2</v>
      </c>
      <c r="F59" s="46"/>
      <c r="J59">
        <f t="shared" si="2"/>
        <v>51</v>
      </c>
      <c r="K59" t="str">
        <f>Curriculum_Skillset!B54</f>
        <v>Exploratory Data Analysis</v>
      </c>
      <c r="L59" s="47">
        <f>Curriculum_Skillset!C54</f>
        <v>8</v>
      </c>
      <c r="M59" s="47"/>
      <c r="N59" s="46">
        <f t="shared" si="3"/>
        <v>0.1</v>
      </c>
      <c r="O59" s="46"/>
    </row>
    <row r="60" spans="1:15">
      <c r="A60">
        <f t="shared" si="0"/>
        <v>53</v>
      </c>
      <c r="B60" t="str">
        <f>Industry_Skillset!B55</f>
        <v>Agentic AI / Agent Benchmarking</v>
      </c>
      <c r="C60" s="47">
        <f>Industry_Skillset!C55</f>
        <v>3</v>
      </c>
      <c r="D60" s="47"/>
      <c r="E60" s="46">
        <f t="shared" si="1"/>
        <v>2.3076923076923078E-2</v>
      </c>
      <c r="F60" s="46"/>
      <c r="J60">
        <f t="shared" si="2"/>
        <v>51</v>
      </c>
      <c r="K60" t="str">
        <f>Curriculum_Skillset!B55</f>
        <v>Geospatial Information Systems (GIS)</v>
      </c>
      <c r="L60" s="47">
        <f>Curriculum_Skillset!C55</f>
        <v>8</v>
      </c>
      <c r="M60" s="47"/>
      <c r="N60" s="46">
        <f t="shared" si="3"/>
        <v>0.1</v>
      </c>
      <c r="O60" s="46"/>
    </row>
    <row r="61" spans="1:15">
      <c r="A61">
        <f t="shared" si="0"/>
        <v>53</v>
      </c>
      <c r="B61" t="str">
        <f>Industry_Skillset!B56</f>
        <v>Customer Segmentation</v>
      </c>
      <c r="C61" s="47">
        <f>Industry_Skillset!C56</f>
        <v>3</v>
      </c>
      <c r="D61" s="47"/>
      <c r="E61" s="46">
        <f t="shared" si="1"/>
        <v>2.3076923076923078E-2</v>
      </c>
      <c r="F61" s="46"/>
      <c r="J61">
        <f t="shared" si="2"/>
        <v>55</v>
      </c>
      <c r="K61" t="str">
        <f>Curriculum_Skillset!B56</f>
        <v>Business Intelligence</v>
      </c>
      <c r="L61" s="47">
        <f>Curriculum_Skillset!C56</f>
        <v>7</v>
      </c>
      <c r="M61" s="47"/>
      <c r="N61" s="46">
        <f t="shared" si="3"/>
        <v>8.7499999999999994E-2</v>
      </c>
      <c r="O61" s="46"/>
    </row>
    <row r="62" spans="1:15">
      <c r="A62">
        <f t="shared" si="0"/>
        <v>53</v>
      </c>
      <c r="B62" t="str">
        <f>Industry_Skillset!B57</f>
        <v>Fraud Detection &amp; Risk Analytics</v>
      </c>
      <c r="C62" s="47">
        <f>Industry_Skillset!C57</f>
        <v>3</v>
      </c>
      <c r="D62" s="47"/>
      <c r="E62" s="46">
        <f t="shared" si="1"/>
        <v>2.3076923076923078E-2</v>
      </c>
      <c r="F62" s="46"/>
      <c r="J62">
        <f t="shared" si="2"/>
        <v>56</v>
      </c>
      <c r="K62" t="str">
        <f>Curriculum_Skillset!B57</f>
        <v>Computer Graphics</v>
      </c>
      <c r="L62" s="47">
        <f>Curriculum_Skillset!C57</f>
        <v>6</v>
      </c>
      <c r="M62" s="47"/>
      <c r="N62" s="46">
        <f t="shared" si="3"/>
        <v>7.4999999999999997E-2</v>
      </c>
      <c r="O62" s="46"/>
    </row>
    <row r="63" spans="1:15">
      <c r="A63">
        <f t="shared" si="0"/>
        <v>53</v>
      </c>
      <c r="B63" t="str">
        <f>Industry_Skillset!B58</f>
        <v>NoSQL Databases</v>
      </c>
      <c r="C63" s="47">
        <f>Industry_Skillset!C58</f>
        <v>3</v>
      </c>
      <c r="D63" s="47"/>
      <c r="E63" s="46">
        <f t="shared" si="1"/>
        <v>2.3076923076923078E-2</v>
      </c>
      <c r="F63" s="46"/>
      <c r="J63">
        <f t="shared" si="2"/>
        <v>56</v>
      </c>
      <c r="K63" t="str">
        <f>Curriculum_Skillset!B58</f>
        <v>Robotics</v>
      </c>
      <c r="L63" s="47">
        <f>Curriculum_Skillset!C58</f>
        <v>6</v>
      </c>
      <c r="M63" s="47"/>
      <c r="N63" s="46">
        <f t="shared" si="3"/>
        <v>7.4999999999999997E-2</v>
      </c>
      <c r="O63" s="46"/>
    </row>
    <row r="64" spans="1:15">
      <c r="A64">
        <f t="shared" si="0"/>
        <v>53</v>
      </c>
      <c r="B64" t="str">
        <f>Industry_Skillset!B59</f>
        <v>REST APIs (Flask / FastAPI)</v>
      </c>
      <c r="C64" s="47">
        <f>Industry_Skillset!C59</f>
        <v>3</v>
      </c>
      <c r="D64" s="47"/>
      <c r="E64" s="46">
        <f t="shared" si="1"/>
        <v>2.3076923076923078E-2</v>
      </c>
      <c r="F64" s="46"/>
      <c r="J64">
        <f t="shared" si="2"/>
        <v>58</v>
      </c>
      <c r="K64" t="str">
        <f>Curriculum_Skillset!B59</f>
        <v>Bayesian Methods</v>
      </c>
      <c r="L64" s="47">
        <f>Curriculum_Skillset!C59</f>
        <v>5</v>
      </c>
      <c r="M64" s="47"/>
      <c r="N64" s="46">
        <f t="shared" si="3"/>
        <v>6.25E-2</v>
      </c>
      <c r="O64" s="46"/>
    </row>
    <row r="65" spans="1:15">
      <c r="A65">
        <f t="shared" si="0"/>
        <v>53</v>
      </c>
      <c r="B65" t="str">
        <f>Industry_Skillset!B60</f>
        <v>React / Frontend Frameworks</v>
      </c>
      <c r="C65" s="47">
        <f>Industry_Skillset!C60</f>
        <v>3</v>
      </c>
      <c r="D65" s="47"/>
      <c r="E65" s="46">
        <f t="shared" si="1"/>
        <v>2.3076923076923078E-2</v>
      </c>
      <c r="F65" s="46"/>
      <c r="J65">
        <f t="shared" si="2"/>
        <v>58</v>
      </c>
      <c r="K65" t="str">
        <f>Curriculum_Skillset!B60</f>
        <v>Ensemble Learning</v>
      </c>
      <c r="L65" s="47">
        <f>Curriculum_Skillset!C60</f>
        <v>5</v>
      </c>
      <c r="M65" s="47"/>
      <c r="N65" s="46">
        <f t="shared" si="3"/>
        <v>6.25E-2</v>
      </c>
      <c r="O65" s="46"/>
    </row>
    <row r="66" spans="1:15">
      <c r="A66">
        <f t="shared" si="0"/>
        <v>53</v>
      </c>
      <c r="B66" t="str">
        <f>Industry_Skillset!B61</f>
        <v>Recommendation Systems</v>
      </c>
      <c r="C66" s="47">
        <f>Industry_Skillset!C61</f>
        <v>3</v>
      </c>
      <c r="D66" s="47"/>
      <c r="E66" s="46">
        <f t="shared" si="1"/>
        <v>2.3076923076923078E-2</v>
      </c>
      <c r="F66" s="46"/>
      <c r="J66">
        <f t="shared" si="2"/>
        <v>58</v>
      </c>
      <c r="K66" t="str">
        <f>Curriculum_Skillset!B61</f>
        <v>Graph Theory</v>
      </c>
      <c r="L66" s="47">
        <f>Curriculum_Skillset!C61</f>
        <v>5</v>
      </c>
      <c r="M66" s="47"/>
      <c r="N66" s="46">
        <f t="shared" si="3"/>
        <v>6.25E-2</v>
      </c>
      <c r="O66" s="46"/>
    </row>
    <row r="67" spans="1:15">
      <c r="A67">
        <f t="shared" si="0"/>
        <v>53</v>
      </c>
      <c r="B67" t="str">
        <f>Industry_Skillset!B62</f>
        <v>SQL / Relational Databases</v>
      </c>
      <c r="C67" s="47">
        <f>Industry_Skillset!C62</f>
        <v>3</v>
      </c>
      <c r="D67" s="47"/>
      <c r="E67" s="46">
        <f t="shared" si="1"/>
        <v>2.3076923076923078E-2</v>
      </c>
      <c r="F67" s="46"/>
      <c r="J67">
        <f t="shared" si="2"/>
        <v>58</v>
      </c>
      <c r="K67" t="str">
        <f>Curriculum_Skillset!B62</f>
        <v>MapReduce</v>
      </c>
      <c r="L67" s="47">
        <f>Curriculum_Skillset!C62</f>
        <v>5</v>
      </c>
      <c r="M67" s="47"/>
      <c r="N67" s="46">
        <f t="shared" si="3"/>
        <v>6.25E-2</v>
      </c>
      <c r="O67" s="46"/>
    </row>
    <row r="68" spans="1:15">
      <c r="A68">
        <f t="shared" si="0"/>
        <v>62</v>
      </c>
      <c r="B68" t="str">
        <f>Industry_Skillset!B63</f>
        <v>Algorithms &amp; Data Structures</v>
      </c>
      <c r="C68" s="47">
        <f>Industry_Skillset!C63</f>
        <v>2</v>
      </c>
      <c r="D68" s="47"/>
      <c r="E68" s="46">
        <f t="shared" si="1"/>
        <v>1.5384615384615385E-2</v>
      </c>
      <c r="F68" s="46"/>
      <c r="J68">
        <f t="shared" si="2"/>
        <v>58</v>
      </c>
      <c r="K68" t="str">
        <f>Curriculum_Skillset!B63</f>
        <v>Web Development</v>
      </c>
      <c r="L68" s="47">
        <f>Curriculum_Skillset!C63</f>
        <v>5</v>
      </c>
      <c r="M68" s="47"/>
      <c r="N68" s="46">
        <f t="shared" si="3"/>
        <v>6.25E-2</v>
      </c>
      <c r="O68" s="46"/>
    </row>
    <row r="69" spans="1:15">
      <c r="A69">
        <f t="shared" si="0"/>
        <v>62</v>
      </c>
      <c r="B69" t="str">
        <f>Industry_Skillset!B64</f>
        <v>Azure Databricks</v>
      </c>
      <c r="C69" s="47">
        <f>Industry_Skillset!C64</f>
        <v>2</v>
      </c>
      <c r="D69" s="47"/>
      <c r="E69" s="46">
        <f t="shared" si="1"/>
        <v>1.5384615384615385E-2</v>
      </c>
      <c r="F69" s="46"/>
      <c r="J69">
        <f t="shared" si="2"/>
        <v>63</v>
      </c>
      <c r="K69" t="str">
        <f>Curriculum_Skillset!B64</f>
        <v>Bioinformatics</v>
      </c>
      <c r="L69" s="47">
        <f>Curriculum_Skillset!C64</f>
        <v>4</v>
      </c>
      <c r="M69" s="47"/>
      <c r="N69" s="46">
        <f t="shared" si="3"/>
        <v>0.05</v>
      </c>
      <c r="O69" s="46"/>
    </row>
    <row r="70" spans="1:15">
      <c r="A70">
        <f t="shared" si="0"/>
        <v>62</v>
      </c>
      <c r="B70" t="str">
        <f>Industry_Skillset!B65</f>
        <v>Bayesian Methods / Causal Inference</v>
      </c>
      <c r="C70" s="47">
        <f>Industry_Skillset!C65</f>
        <v>2</v>
      </c>
      <c r="D70" s="47"/>
      <c r="E70" s="46">
        <f t="shared" si="1"/>
        <v>1.5384615384615385E-2</v>
      </c>
      <c r="F70" s="46"/>
      <c r="J70">
        <f t="shared" si="2"/>
        <v>63</v>
      </c>
      <c r="K70" t="str">
        <f>Curriculum_Skillset!B65</f>
        <v>Convolutional Neural Networks</v>
      </c>
      <c r="L70" s="47">
        <f>Curriculum_Skillset!C65</f>
        <v>4</v>
      </c>
      <c r="M70" s="47"/>
      <c r="N70" s="46">
        <f t="shared" si="3"/>
        <v>0.05</v>
      </c>
      <c r="O70" s="46"/>
    </row>
    <row r="71" spans="1:15">
      <c r="A71">
        <f t="shared" si="0"/>
        <v>62</v>
      </c>
      <c r="B71" t="str">
        <f>Industry_Skillset!B66</f>
        <v>C / C++</v>
      </c>
      <c r="C71" s="47">
        <f>Industry_Skillset!C66</f>
        <v>2</v>
      </c>
      <c r="D71" s="47"/>
      <c r="E71" s="46">
        <f t="shared" si="1"/>
        <v>1.5384615384615385E-2</v>
      </c>
      <c r="F71" s="46"/>
      <c r="J71">
        <f t="shared" si="2"/>
        <v>63</v>
      </c>
      <c r="K71" t="str">
        <f>Curriculum_Skillset!B66</f>
        <v>Data Engineering</v>
      </c>
      <c r="L71" s="47">
        <f>Curriculum_Skillset!C66</f>
        <v>4</v>
      </c>
      <c r="M71" s="47"/>
      <c r="N71" s="46">
        <f t="shared" si="3"/>
        <v>0.05</v>
      </c>
      <c r="O71" s="46"/>
    </row>
    <row r="72" spans="1:15">
      <c r="A72">
        <f t="shared" ref="A72:A92" si="4">_xlfn.RANK.EQ(C72,$C$7:$C$99,0)</f>
        <v>62</v>
      </c>
      <c r="B72" t="str">
        <f>Industry_Skillset!B67</f>
        <v>CI/CD Workflows</v>
      </c>
      <c r="C72" s="47">
        <f>Industry_Skillset!C67</f>
        <v>2</v>
      </c>
      <c r="D72" s="47"/>
      <c r="E72" s="46">
        <f t="shared" ref="E72:E92" si="5">C72/130</f>
        <v>1.5384615384615385E-2</v>
      </c>
      <c r="F72" s="46"/>
      <c r="J72">
        <f t="shared" ref="J72:J85" si="6">_xlfn.RANK.EQ(L72,$L$7:$L$90,0)</f>
        <v>63</v>
      </c>
      <c r="K72" t="str">
        <f>Curriculum_Skillset!B67</f>
        <v>HTML</v>
      </c>
      <c r="L72" s="47">
        <f>Curriculum_Skillset!C67</f>
        <v>4</v>
      </c>
      <c r="M72" s="47"/>
      <c r="N72" s="46">
        <f t="shared" ref="N72:N85" si="7">L72/80</f>
        <v>0.05</v>
      </c>
      <c r="O72" s="46"/>
    </row>
    <row r="73" spans="1:15">
      <c r="A73">
        <f t="shared" si="4"/>
        <v>62</v>
      </c>
      <c r="B73" t="str">
        <f>Industry_Skillset!B68</f>
        <v>Causal Inference</v>
      </c>
      <c r="C73" s="47">
        <f>Industry_Skillset!C68</f>
        <v>2</v>
      </c>
      <c r="D73" s="47"/>
      <c r="E73" s="46">
        <f t="shared" si="5"/>
        <v>1.5384615384615385E-2</v>
      </c>
      <c r="F73" s="46"/>
      <c r="J73">
        <f t="shared" si="6"/>
        <v>63</v>
      </c>
      <c r="K73" t="str">
        <f>Curriculum_Skillset!B68</f>
        <v>Information Security</v>
      </c>
      <c r="L73" s="47">
        <f>Curriculum_Skillset!C68</f>
        <v>4</v>
      </c>
      <c r="M73" s="47"/>
      <c r="N73" s="46">
        <f t="shared" si="7"/>
        <v>0.05</v>
      </c>
      <c r="O73" s="46"/>
    </row>
    <row r="74" spans="1:15">
      <c r="A74">
        <f t="shared" si="4"/>
        <v>62</v>
      </c>
      <c r="B74" t="str">
        <f>Industry_Skillset!B69</f>
        <v>Cloud Data Warehousing (BigQuery / Redshift)</v>
      </c>
      <c r="C74" s="47">
        <f>Industry_Skillset!C69</f>
        <v>2</v>
      </c>
      <c r="D74" s="47"/>
      <c r="E74" s="46">
        <f t="shared" si="5"/>
        <v>1.5384615384615385E-2</v>
      </c>
      <c r="F74" s="46"/>
      <c r="J74">
        <f t="shared" si="6"/>
        <v>63</v>
      </c>
      <c r="K74" t="str">
        <f>Curriculum_Skillset!B69</f>
        <v>PHP</v>
      </c>
      <c r="L74" s="47">
        <f>Curriculum_Skillset!C69</f>
        <v>4</v>
      </c>
      <c r="M74" s="47"/>
      <c r="N74" s="46">
        <f t="shared" si="7"/>
        <v>0.05</v>
      </c>
      <c r="O74" s="46"/>
    </row>
    <row r="75" spans="1:15">
      <c r="A75">
        <f t="shared" si="4"/>
        <v>62</v>
      </c>
      <c r="B75" t="str">
        <f>Industry_Skillset!B70</f>
        <v>Computer Vision</v>
      </c>
      <c r="C75" s="47">
        <f>Industry_Skillset!C70</f>
        <v>2</v>
      </c>
      <c r="D75" s="47"/>
      <c r="E75" s="46">
        <f t="shared" si="5"/>
        <v>1.5384615384615385E-2</v>
      </c>
      <c r="F75" s="46"/>
      <c r="J75">
        <f t="shared" si="6"/>
        <v>63</v>
      </c>
      <c r="K75" t="str">
        <f>Curriculum_Skillset!B70</f>
        <v>Software Engineering</v>
      </c>
      <c r="L75" s="47">
        <f>Curriculum_Skillset!C70</f>
        <v>4</v>
      </c>
      <c r="M75" s="47"/>
      <c r="N75" s="46">
        <f t="shared" si="7"/>
        <v>0.05</v>
      </c>
      <c r="O75" s="46"/>
    </row>
    <row r="76" spans="1:15">
      <c r="A76">
        <f t="shared" si="4"/>
        <v>62</v>
      </c>
      <c r="B76" t="str">
        <f>Industry_Skillset!B71</f>
        <v>Computer Vision / Image Processing</v>
      </c>
      <c r="C76" s="47">
        <f>Industry_Skillset!C71</f>
        <v>2</v>
      </c>
      <c r="D76" s="47"/>
      <c r="E76" s="46">
        <f t="shared" si="5"/>
        <v>1.5384615384615385E-2</v>
      </c>
      <c r="F76" s="46"/>
      <c r="J76">
        <f t="shared" si="6"/>
        <v>63</v>
      </c>
      <c r="K76" t="str">
        <f>Curriculum_Skillset!B71</f>
        <v>Tableau</v>
      </c>
      <c r="L76" s="47">
        <f>Curriculum_Skillset!C71</f>
        <v>4</v>
      </c>
      <c r="M76" s="47"/>
      <c r="N76" s="46">
        <f t="shared" si="7"/>
        <v>0.05</v>
      </c>
      <c r="O76" s="46"/>
    </row>
    <row r="77" spans="1:15">
      <c r="A77">
        <f t="shared" si="4"/>
        <v>62</v>
      </c>
      <c r="B77" t="str">
        <f>Industry_Skillset!B72</f>
        <v>Data Mining</v>
      </c>
      <c r="C77" s="47">
        <f>Industry_Skillset!C72</f>
        <v>2</v>
      </c>
      <c r="D77" s="47"/>
      <c r="E77" s="46">
        <f t="shared" si="5"/>
        <v>1.5384615384615385E-2</v>
      </c>
      <c r="F77" s="46"/>
      <c r="J77">
        <f t="shared" si="6"/>
        <v>63</v>
      </c>
      <c r="K77" t="str">
        <f>Curriculum_Skillset!B72</f>
        <v>Text Mining</v>
      </c>
      <c r="L77" s="47">
        <f>Curriculum_Skillset!C72</f>
        <v>4</v>
      </c>
      <c r="M77" s="47"/>
      <c r="N77" s="46">
        <f t="shared" si="7"/>
        <v>0.05</v>
      </c>
      <c r="O77" s="46"/>
    </row>
    <row r="78" spans="1:15">
      <c r="A78">
        <f t="shared" si="4"/>
        <v>62</v>
      </c>
      <c r="B78" t="str">
        <f>Industry_Skillset!B73</f>
        <v>Experimental Design &amp; A/B Testing</v>
      </c>
      <c r="C78" s="47">
        <f>Industry_Skillset!C73</f>
        <v>2</v>
      </c>
      <c r="D78" s="47"/>
      <c r="E78" s="46">
        <f t="shared" si="5"/>
        <v>1.5384615384615385E-2</v>
      </c>
      <c r="F78" s="46"/>
      <c r="J78">
        <f t="shared" si="6"/>
        <v>72</v>
      </c>
      <c r="K78" t="str">
        <f>Curriculum_Skillset!B73</f>
        <v>C++</v>
      </c>
      <c r="L78" s="47">
        <f>Curriculum_Skillset!C73</f>
        <v>3</v>
      </c>
      <c r="M78" s="47"/>
      <c r="N78" s="46">
        <f t="shared" si="7"/>
        <v>3.7499999999999999E-2</v>
      </c>
      <c r="O78" s="46"/>
    </row>
    <row r="79" spans="1:15">
      <c r="A79">
        <f t="shared" si="4"/>
        <v>62</v>
      </c>
      <c r="B79" t="str">
        <f>Industry_Skillset!B74</f>
        <v>Experimentation &amp; Model Fine-Tuning</v>
      </c>
      <c r="C79" s="47">
        <f>Industry_Skillset!C74</f>
        <v>2</v>
      </c>
      <c r="D79" s="47"/>
      <c r="E79" s="46">
        <f t="shared" si="5"/>
        <v>1.5384615384615385E-2</v>
      </c>
      <c r="F79" s="46"/>
      <c r="J79">
        <f t="shared" si="6"/>
        <v>72</v>
      </c>
      <c r="K79" t="str">
        <f>Curriculum_Skillset!B74</f>
        <v>Digital Image Processing</v>
      </c>
      <c r="L79" s="47">
        <f>Curriculum_Skillset!C74</f>
        <v>3</v>
      </c>
      <c r="M79" s="47"/>
      <c r="N79" s="46">
        <f t="shared" si="7"/>
        <v>3.7499999999999999E-2</v>
      </c>
      <c r="O79" s="46"/>
    </row>
    <row r="80" spans="1:15">
      <c r="A80">
        <f t="shared" si="4"/>
        <v>62</v>
      </c>
      <c r="B80" t="str">
        <f>Industry_Skillset!B75</f>
        <v>Fine-Tuning LLMs</v>
      </c>
      <c r="C80" s="47">
        <f>Industry_Skillset!C75</f>
        <v>2</v>
      </c>
      <c r="D80" s="47"/>
      <c r="E80" s="46">
        <f t="shared" si="5"/>
        <v>1.5384615384615385E-2</v>
      </c>
      <c r="F80" s="46"/>
      <c r="J80">
        <f t="shared" si="6"/>
        <v>72</v>
      </c>
      <c r="K80" t="str">
        <f>Curriculum_Skillset!B75</f>
        <v>Fuzzy Logic</v>
      </c>
      <c r="L80" s="47">
        <f>Curriculum_Skillset!C75</f>
        <v>3</v>
      </c>
      <c r="M80" s="47"/>
      <c r="N80" s="46">
        <f t="shared" si="7"/>
        <v>3.7499999999999999E-2</v>
      </c>
      <c r="O80" s="46"/>
    </row>
    <row r="81" spans="1:15">
      <c r="A81">
        <f t="shared" si="4"/>
        <v>62</v>
      </c>
      <c r="B81" t="str">
        <f>Industry_Skillset!B76</f>
        <v>Large-Scale Data Processing / Big Data</v>
      </c>
      <c r="C81" s="47">
        <f>Industry_Skillset!C76</f>
        <v>2</v>
      </c>
      <c r="D81" s="47"/>
      <c r="E81" s="46">
        <f t="shared" si="5"/>
        <v>1.5384615384615385E-2</v>
      </c>
      <c r="F81" s="46"/>
      <c r="J81">
        <f t="shared" si="6"/>
        <v>72</v>
      </c>
      <c r="K81" t="str">
        <f>Curriculum_Skillset!B76</f>
        <v>Soft Computing</v>
      </c>
      <c r="L81" s="47">
        <f>Curriculum_Skillset!C76</f>
        <v>3</v>
      </c>
      <c r="M81" s="47"/>
      <c r="N81" s="46">
        <f t="shared" si="7"/>
        <v>3.7499999999999999E-2</v>
      </c>
      <c r="O81" s="46"/>
    </row>
    <row r="82" spans="1:15">
      <c r="A82">
        <f t="shared" si="4"/>
        <v>62</v>
      </c>
      <c r="B82" t="str">
        <f>Industry_Skillset!B77</f>
        <v>Model Evaluation &amp; Optimization</v>
      </c>
      <c r="C82" s="47">
        <f>Industry_Skillset!C77</f>
        <v>2</v>
      </c>
      <c r="D82" s="47"/>
      <c r="E82" s="46">
        <f t="shared" si="5"/>
        <v>1.5384615384615385E-2</v>
      </c>
      <c r="F82" s="46"/>
      <c r="J82">
        <f t="shared" si="6"/>
        <v>72</v>
      </c>
      <c r="K82" t="str">
        <f>Curriculum_Skillset!B77</f>
        <v>Speech Processing</v>
      </c>
      <c r="L82" s="47">
        <f>Curriculum_Skillset!C77</f>
        <v>3</v>
      </c>
      <c r="M82" s="47"/>
      <c r="N82" s="46">
        <f t="shared" si="7"/>
        <v>3.7499999999999999E-2</v>
      </c>
      <c r="O82" s="46"/>
    </row>
    <row r="83" spans="1:15">
      <c r="A83">
        <f t="shared" si="4"/>
        <v>62</v>
      </c>
      <c r="B83" t="str">
        <f>Industry_Skillset!B78</f>
        <v>Predictive Analytics</v>
      </c>
      <c r="C83" s="47">
        <f>Industry_Skillset!C78</f>
        <v>2</v>
      </c>
      <c r="D83" s="47"/>
      <c r="E83" s="46">
        <f t="shared" si="5"/>
        <v>1.5384615384615385E-2</v>
      </c>
      <c r="F83" s="46"/>
      <c r="J83">
        <f t="shared" si="6"/>
        <v>77</v>
      </c>
      <c r="K83" t="str">
        <f>Curriculum_Skillset!B78</f>
        <v>Biometric Systems</v>
      </c>
      <c r="L83" s="47">
        <f>Curriculum_Skillset!C78</f>
        <v>2</v>
      </c>
      <c r="M83" s="47"/>
      <c r="N83" s="46">
        <f t="shared" si="7"/>
        <v>2.5000000000000001E-2</v>
      </c>
      <c r="O83" s="46"/>
    </row>
    <row r="84" spans="1:15">
      <c r="A84">
        <f t="shared" si="4"/>
        <v>62</v>
      </c>
      <c r="B84" t="str">
        <f>Industry_Skillset!B79</f>
        <v>Reporting &amp; Documentation</v>
      </c>
      <c r="C84" s="47">
        <f>Industry_Skillset!C79</f>
        <v>2</v>
      </c>
      <c r="D84" s="47"/>
      <c r="E84" s="46">
        <f t="shared" si="5"/>
        <v>1.5384615384615385E-2</v>
      </c>
      <c r="F84" s="46"/>
      <c r="J84">
        <f t="shared" si="6"/>
        <v>77</v>
      </c>
      <c r="K84" t="str">
        <f>Curriculum_Skillset!B79</f>
        <v>Operations Research</v>
      </c>
      <c r="L84" s="47">
        <f>Curriculum_Skillset!C79</f>
        <v>2</v>
      </c>
      <c r="M84" s="47"/>
      <c r="N84" s="46">
        <f t="shared" si="7"/>
        <v>2.5000000000000001E-2</v>
      </c>
      <c r="O84" s="46"/>
    </row>
    <row r="85" spans="1:15">
      <c r="A85">
        <f t="shared" si="4"/>
        <v>79</v>
      </c>
      <c r="B85" t="str">
        <f>Industry_Skillset!B80</f>
        <v>AI Safety &amp; Responsible AI</v>
      </c>
      <c r="C85" s="47">
        <f>Industry_Skillset!C80</f>
        <v>1</v>
      </c>
      <c r="D85" s="47"/>
      <c r="E85" s="46">
        <f t="shared" si="5"/>
        <v>7.6923076923076927E-3</v>
      </c>
      <c r="F85" s="46"/>
      <c r="J85">
        <f t="shared" si="6"/>
        <v>77</v>
      </c>
      <c r="K85" t="str">
        <f>Curriculum_Skillset!B80</f>
        <v>Social Network Analysis</v>
      </c>
      <c r="L85" s="47">
        <f>Curriculum_Skillset!C80</f>
        <v>2</v>
      </c>
      <c r="M85" s="47"/>
      <c r="N85" s="46">
        <f t="shared" si="7"/>
        <v>2.5000000000000001E-2</v>
      </c>
      <c r="O85" s="46"/>
    </row>
    <row r="86" spans="1:15">
      <c r="A86">
        <f t="shared" si="4"/>
        <v>79</v>
      </c>
      <c r="B86" t="str">
        <f>Industry_Skillset!B81</f>
        <v>Autonomous Driving / ADAS</v>
      </c>
      <c r="C86" s="47">
        <f>Industry_Skillset!C81</f>
        <v>1</v>
      </c>
      <c r="D86" s="47"/>
      <c r="E86" s="46">
        <f t="shared" si="5"/>
        <v>7.6923076923076927E-3</v>
      </c>
      <c r="F86" s="46"/>
    </row>
    <row r="87" spans="1:15">
      <c r="A87">
        <f t="shared" si="4"/>
        <v>79</v>
      </c>
      <c r="B87" t="str">
        <f>Industry_Skillset!B82</f>
        <v>Browser Automation</v>
      </c>
      <c r="C87" s="47">
        <f>Industry_Skillset!C82</f>
        <v>1</v>
      </c>
      <c r="D87" s="47"/>
      <c r="E87" s="46">
        <f t="shared" si="5"/>
        <v>7.6923076923076927E-3</v>
      </c>
      <c r="F87" s="46"/>
    </row>
    <row r="88" spans="1:15">
      <c r="C88" s="47"/>
      <c r="D88" s="47"/>
      <c r="E88" s="46"/>
      <c r="F88" s="46"/>
    </row>
    <row r="89" spans="1:15">
      <c r="C89" s="47"/>
      <c r="D89" s="47"/>
      <c r="E89" s="46"/>
      <c r="F89" s="46"/>
    </row>
    <row r="90" spans="1:15">
      <c r="C90" s="47"/>
      <c r="D90" s="47"/>
      <c r="E90" s="46"/>
      <c r="F90" s="46"/>
    </row>
    <row r="91" spans="1:15">
      <c r="C91" s="47"/>
      <c r="D91" s="47"/>
      <c r="E91" s="46"/>
      <c r="F91" s="46"/>
    </row>
    <row r="92" spans="1:15">
      <c r="C92" s="47"/>
      <c r="D92" s="47"/>
      <c r="E92" s="46"/>
      <c r="F92" s="46"/>
    </row>
    <row r="100" spans="2:4">
      <c r="B100" s="3" t="s">
        <v>292</v>
      </c>
      <c r="C100" s="4" t="s">
        <v>293</v>
      </c>
      <c r="D100" s="4" t="s">
        <v>294</v>
      </c>
    </row>
    <row r="101" spans="2:4">
      <c r="B101" s="5" t="s">
        <v>295</v>
      </c>
      <c r="C101" s="4">
        <f>COUNTA(B7:B99)</f>
        <v>81</v>
      </c>
      <c r="D101" s="4">
        <f>COUNTA(K7:K90)</f>
        <v>79</v>
      </c>
    </row>
    <row r="102" spans="2:4">
      <c r="B102" t="s">
        <v>296</v>
      </c>
      <c r="C102">
        <v>130</v>
      </c>
      <c r="D102">
        <v>80</v>
      </c>
    </row>
    <row r="103" spans="2:4">
      <c r="B103" t="s">
        <v>297</v>
      </c>
      <c r="C103">
        <f>MAX(C7:C99)</f>
        <v>117</v>
      </c>
      <c r="D103">
        <f>MAX(L7:L90)</f>
        <v>80</v>
      </c>
    </row>
    <row r="104" spans="2:4">
      <c r="B104" t="s">
        <v>298</v>
      </c>
      <c r="C104" s="6">
        <f>MAX(E7:E99)</f>
        <v>0.9</v>
      </c>
      <c r="D104" s="6">
        <f>MAX(N7:N90)</f>
        <v>1</v>
      </c>
    </row>
  </sheetData>
  <mergeCells count="334">
    <mergeCell ref="N81:O81"/>
    <mergeCell ref="N82:O82"/>
    <mergeCell ref="N83:O83"/>
    <mergeCell ref="N84:O84"/>
    <mergeCell ref="N85:O85"/>
    <mergeCell ref="A1:P1"/>
    <mergeCell ref="A2:P2"/>
    <mergeCell ref="N75:O75"/>
    <mergeCell ref="N76:O76"/>
    <mergeCell ref="N77:O77"/>
    <mergeCell ref="N78:O78"/>
    <mergeCell ref="N79:O79"/>
    <mergeCell ref="N80:O80"/>
    <mergeCell ref="N69:O69"/>
    <mergeCell ref="N70:O70"/>
    <mergeCell ref="N71:O71"/>
    <mergeCell ref="N72:O72"/>
    <mergeCell ref="N73:O73"/>
    <mergeCell ref="N74:O74"/>
    <mergeCell ref="N63:O63"/>
    <mergeCell ref="N64:O64"/>
    <mergeCell ref="N65:O65"/>
    <mergeCell ref="N66:O66"/>
    <mergeCell ref="N67:O67"/>
    <mergeCell ref="N68:O68"/>
    <mergeCell ref="N57:O57"/>
    <mergeCell ref="N58:O58"/>
    <mergeCell ref="N59:O59"/>
    <mergeCell ref="N60:O60"/>
    <mergeCell ref="N61:O61"/>
    <mergeCell ref="N62:O62"/>
    <mergeCell ref="N51:O51"/>
    <mergeCell ref="N52:O52"/>
    <mergeCell ref="N53:O53"/>
    <mergeCell ref="N54:O54"/>
    <mergeCell ref="N55:O55"/>
    <mergeCell ref="N56:O56"/>
    <mergeCell ref="N45:O45"/>
    <mergeCell ref="N46:O46"/>
    <mergeCell ref="N47:O47"/>
    <mergeCell ref="N48:O48"/>
    <mergeCell ref="N49:O49"/>
    <mergeCell ref="N50:O50"/>
    <mergeCell ref="N39:O39"/>
    <mergeCell ref="N40:O40"/>
    <mergeCell ref="N41:O41"/>
    <mergeCell ref="N42:O42"/>
    <mergeCell ref="N43:O43"/>
    <mergeCell ref="N44:O44"/>
    <mergeCell ref="N33:O33"/>
    <mergeCell ref="N34:O34"/>
    <mergeCell ref="N35:O35"/>
    <mergeCell ref="N36:O36"/>
    <mergeCell ref="N37:O37"/>
    <mergeCell ref="N38:O38"/>
    <mergeCell ref="N27:O27"/>
    <mergeCell ref="N28:O28"/>
    <mergeCell ref="N29:O29"/>
    <mergeCell ref="N30:O30"/>
    <mergeCell ref="N31:O31"/>
    <mergeCell ref="N32:O32"/>
    <mergeCell ref="N21:O21"/>
    <mergeCell ref="N22:O22"/>
    <mergeCell ref="N23:O23"/>
    <mergeCell ref="N24:O24"/>
    <mergeCell ref="N25:O25"/>
    <mergeCell ref="N26:O26"/>
    <mergeCell ref="N15:O15"/>
    <mergeCell ref="N16:O16"/>
    <mergeCell ref="N17:O17"/>
    <mergeCell ref="N18:O18"/>
    <mergeCell ref="N19:O19"/>
    <mergeCell ref="N20:O20"/>
    <mergeCell ref="L84:M84"/>
    <mergeCell ref="L85:M85"/>
    <mergeCell ref="N7:O7"/>
    <mergeCell ref="N8:O8"/>
    <mergeCell ref="N9:O9"/>
    <mergeCell ref="N10:O10"/>
    <mergeCell ref="N11:O11"/>
    <mergeCell ref="N12:O12"/>
    <mergeCell ref="N13:O13"/>
    <mergeCell ref="N14:O14"/>
    <mergeCell ref="L78:M78"/>
    <mergeCell ref="L79:M79"/>
    <mergeCell ref="L80:M80"/>
    <mergeCell ref="L81:M81"/>
    <mergeCell ref="L82:M82"/>
    <mergeCell ref="L83:M83"/>
    <mergeCell ref="L72:M72"/>
    <mergeCell ref="L73:M73"/>
    <mergeCell ref="L74:M74"/>
    <mergeCell ref="L75:M75"/>
    <mergeCell ref="L76:M76"/>
    <mergeCell ref="L77:M77"/>
    <mergeCell ref="L66:M66"/>
    <mergeCell ref="L67:M67"/>
    <mergeCell ref="L68:M68"/>
    <mergeCell ref="L69:M69"/>
    <mergeCell ref="L70:M70"/>
    <mergeCell ref="L71:M71"/>
    <mergeCell ref="L60:M60"/>
    <mergeCell ref="L61:M61"/>
    <mergeCell ref="L62:M62"/>
    <mergeCell ref="L63:M63"/>
    <mergeCell ref="L64:M64"/>
    <mergeCell ref="L65:M65"/>
    <mergeCell ref="L54:M54"/>
    <mergeCell ref="L55:M55"/>
    <mergeCell ref="L56:M56"/>
    <mergeCell ref="L57:M57"/>
    <mergeCell ref="L58:M58"/>
    <mergeCell ref="L59:M59"/>
    <mergeCell ref="L48:M48"/>
    <mergeCell ref="L49:M49"/>
    <mergeCell ref="L50:M50"/>
    <mergeCell ref="L51:M51"/>
    <mergeCell ref="L52:M52"/>
    <mergeCell ref="L53:M53"/>
    <mergeCell ref="L42:M42"/>
    <mergeCell ref="L43:M43"/>
    <mergeCell ref="L44:M44"/>
    <mergeCell ref="L45:M45"/>
    <mergeCell ref="L46:M46"/>
    <mergeCell ref="L47:M47"/>
    <mergeCell ref="L36:M36"/>
    <mergeCell ref="L37:M37"/>
    <mergeCell ref="L38:M38"/>
    <mergeCell ref="L39:M39"/>
    <mergeCell ref="L40:M40"/>
    <mergeCell ref="L41:M41"/>
    <mergeCell ref="L30:M30"/>
    <mergeCell ref="L31:M31"/>
    <mergeCell ref="L32:M32"/>
    <mergeCell ref="L33:M33"/>
    <mergeCell ref="L34:M34"/>
    <mergeCell ref="L35:M35"/>
    <mergeCell ref="L24:M24"/>
    <mergeCell ref="L25:M25"/>
    <mergeCell ref="L26:M26"/>
    <mergeCell ref="L27:M27"/>
    <mergeCell ref="L28:M28"/>
    <mergeCell ref="L29:M29"/>
    <mergeCell ref="L18:M18"/>
    <mergeCell ref="L19:M19"/>
    <mergeCell ref="L20:M20"/>
    <mergeCell ref="L21:M21"/>
    <mergeCell ref="L22:M22"/>
    <mergeCell ref="L23:M23"/>
    <mergeCell ref="L12:M12"/>
    <mergeCell ref="L13:M13"/>
    <mergeCell ref="L14:M14"/>
    <mergeCell ref="L15:M15"/>
    <mergeCell ref="L16:M16"/>
    <mergeCell ref="L17:M17"/>
    <mergeCell ref="E69:F69"/>
    <mergeCell ref="E70:F70"/>
    <mergeCell ref="E71:F71"/>
    <mergeCell ref="E72:F72"/>
    <mergeCell ref="E73:F73"/>
    <mergeCell ref="E74:F74"/>
    <mergeCell ref="J5:Q5"/>
    <mergeCell ref="L7:M7"/>
    <mergeCell ref="L8:M8"/>
    <mergeCell ref="L9:M9"/>
    <mergeCell ref="L10:M10"/>
    <mergeCell ref="L11:M11"/>
    <mergeCell ref="E57:F57"/>
    <mergeCell ref="E58:F58"/>
    <mergeCell ref="E59:F59"/>
    <mergeCell ref="E60:F60"/>
    <mergeCell ref="E61:F61"/>
    <mergeCell ref="E62:F62"/>
    <mergeCell ref="E45:F45"/>
    <mergeCell ref="E46:F46"/>
    <mergeCell ref="E47:F47"/>
    <mergeCell ref="E48:F48"/>
    <mergeCell ref="E49:F49"/>
    <mergeCell ref="E50:F50"/>
    <mergeCell ref="E30:F30"/>
    <mergeCell ref="E15:F15"/>
    <mergeCell ref="E16:F16"/>
    <mergeCell ref="E17:F17"/>
    <mergeCell ref="E36:F36"/>
    <mergeCell ref="E37:F37"/>
    <mergeCell ref="E38:F38"/>
    <mergeCell ref="E21:F21"/>
    <mergeCell ref="E22:F22"/>
    <mergeCell ref="E23:F23"/>
    <mergeCell ref="E24:F24"/>
    <mergeCell ref="E25:F25"/>
    <mergeCell ref="E26:F26"/>
    <mergeCell ref="E31:F31"/>
    <mergeCell ref="E32:F32"/>
    <mergeCell ref="E33:F33"/>
    <mergeCell ref="E34:F34"/>
    <mergeCell ref="E35:F35"/>
    <mergeCell ref="E63:F63"/>
    <mergeCell ref="E64:F64"/>
    <mergeCell ref="E65:F65"/>
    <mergeCell ref="E66:F66"/>
    <mergeCell ref="E80:F80"/>
    <mergeCell ref="E67:F67"/>
    <mergeCell ref="E68:F68"/>
    <mergeCell ref="E9:F9"/>
    <mergeCell ref="E10:F10"/>
    <mergeCell ref="E11:F11"/>
    <mergeCell ref="E12:F12"/>
    <mergeCell ref="E13:F13"/>
    <mergeCell ref="E14:F14"/>
    <mergeCell ref="E51:F51"/>
    <mergeCell ref="E52:F52"/>
    <mergeCell ref="E53:F53"/>
    <mergeCell ref="E54:F54"/>
    <mergeCell ref="E39:F39"/>
    <mergeCell ref="E40:F40"/>
    <mergeCell ref="E41:F41"/>
    <mergeCell ref="E42:F42"/>
    <mergeCell ref="E27:F27"/>
    <mergeCell ref="E28:F28"/>
    <mergeCell ref="E29:F29"/>
    <mergeCell ref="C75:D75"/>
    <mergeCell ref="C76:D76"/>
    <mergeCell ref="C77:D77"/>
    <mergeCell ref="C78:D78"/>
    <mergeCell ref="C79:D79"/>
    <mergeCell ref="C80:D80"/>
    <mergeCell ref="E79:F79"/>
    <mergeCell ref="E90:F90"/>
    <mergeCell ref="E75:F75"/>
    <mergeCell ref="E76:F76"/>
    <mergeCell ref="E77:F77"/>
    <mergeCell ref="E78:F78"/>
    <mergeCell ref="E87:F87"/>
    <mergeCell ref="E88:F88"/>
    <mergeCell ref="E89:F89"/>
    <mergeCell ref="E84:F84"/>
    <mergeCell ref="E85:F85"/>
    <mergeCell ref="E86:F86"/>
    <mergeCell ref="E81:F81"/>
    <mergeCell ref="E82:F82"/>
    <mergeCell ref="E83:F83"/>
    <mergeCell ref="C87:D87"/>
    <mergeCell ref="C88:D88"/>
    <mergeCell ref="C89:D89"/>
    <mergeCell ref="C90:D90"/>
    <mergeCell ref="C91:D91"/>
    <mergeCell ref="C92:D92"/>
    <mergeCell ref="E91:F91"/>
    <mergeCell ref="E92:F92"/>
    <mergeCell ref="C81:D81"/>
    <mergeCell ref="C82:D82"/>
    <mergeCell ref="C83:D83"/>
    <mergeCell ref="C84:D84"/>
    <mergeCell ref="C85:D85"/>
    <mergeCell ref="C86:D86"/>
    <mergeCell ref="C69:D69"/>
    <mergeCell ref="C70:D70"/>
    <mergeCell ref="C71:D71"/>
    <mergeCell ref="C72:D72"/>
    <mergeCell ref="C73:D73"/>
    <mergeCell ref="C74:D74"/>
    <mergeCell ref="C63:D63"/>
    <mergeCell ref="C64:D64"/>
    <mergeCell ref="C65:D65"/>
    <mergeCell ref="C66:D66"/>
    <mergeCell ref="C67:D67"/>
    <mergeCell ref="C68:D68"/>
    <mergeCell ref="C57:D57"/>
    <mergeCell ref="C58:D58"/>
    <mergeCell ref="C59:D59"/>
    <mergeCell ref="C60:D60"/>
    <mergeCell ref="C61:D61"/>
    <mergeCell ref="C62:D62"/>
    <mergeCell ref="C51:D51"/>
    <mergeCell ref="C52:D52"/>
    <mergeCell ref="C53:D53"/>
    <mergeCell ref="C54:D54"/>
    <mergeCell ref="C55:D55"/>
    <mergeCell ref="C56:D56"/>
    <mergeCell ref="E55:F55"/>
    <mergeCell ref="E56:F56"/>
    <mergeCell ref="C45:D45"/>
    <mergeCell ref="C46:D46"/>
    <mergeCell ref="C47:D47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E43:F43"/>
    <mergeCell ref="E44:F44"/>
    <mergeCell ref="C33:D33"/>
    <mergeCell ref="C34:D34"/>
    <mergeCell ref="C35:D35"/>
    <mergeCell ref="C36:D36"/>
    <mergeCell ref="C37:D37"/>
    <mergeCell ref="C38:D38"/>
    <mergeCell ref="C27:D27"/>
    <mergeCell ref="C28:D28"/>
    <mergeCell ref="C29:D29"/>
    <mergeCell ref="C30:D30"/>
    <mergeCell ref="C31:D31"/>
    <mergeCell ref="C32:D32"/>
    <mergeCell ref="C21:D21"/>
    <mergeCell ref="C22:D22"/>
    <mergeCell ref="C23:D23"/>
    <mergeCell ref="C24:D24"/>
    <mergeCell ref="C25:D25"/>
    <mergeCell ref="C26:D26"/>
    <mergeCell ref="C15:D15"/>
    <mergeCell ref="C16:D16"/>
    <mergeCell ref="C17:D17"/>
    <mergeCell ref="C18:D18"/>
    <mergeCell ref="C19:D19"/>
    <mergeCell ref="C20:D20"/>
    <mergeCell ref="A5:F5"/>
    <mergeCell ref="E19:F19"/>
    <mergeCell ref="E20:F20"/>
    <mergeCell ref="C9:D9"/>
    <mergeCell ref="C10:D10"/>
    <mergeCell ref="C11:D11"/>
    <mergeCell ref="C12:D12"/>
    <mergeCell ref="C13:D13"/>
    <mergeCell ref="C14:D14"/>
    <mergeCell ref="C7:D7"/>
    <mergeCell ref="C8:D8"/>
    <mergeCell ref="E18:F18"/>
    <mergeCell ref="E7:F7"/>
    <mergeCell ref="E8:F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9480-383F-4721-9837-5D4C37C3273C}">
  <dimension ref="A1:AC39"/>
  <sheetViews>
    <sheetView workbookViewId="0">
      <selection activeCell="AA64" sqref="AA64"/>
    </sheetView>
  </sheetViews>
  <sheetFormatPr defaultRowHeight="15"/>
  <cols>
    <col min="2" max="2" width="26.42578125" customWidth="1"/>
    <col min="3" max="3" width="19" customWidth="1"/>
    <col min="15" max="15" width="20.85546875" customWidth="1"/>
    <col min="25" max="25" width="25.7109375" customWidth="1"/>
    <col min="26" max="26" width="15.42578125" customWidth="1"/>
    <col min="27" max="27" width="14.28515625" customWidth="1"/>
  </cols>
  <sheetData>
    <row r="1" spans="1:29">
      <c r="A1" s="50" t="s">
        <v>299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29">
      <c r="A2" s="50" t="s">
        <v>300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5" spans="1:29">
      <c r="A5" s="45" t="s">
        <v>301</v>
      </c>
      <c r="B5" s="45"/>
      <c r="C5" s="45"/>
      <c r="D5" s="45"/>
      <c r="E5" s="45"/>
      <c r="F5" s="45"/>
      <c r="G5" s="45"/>
      <c r="H5" s="45"/>
      <c r="I5" s="45"/>
      <c r="J5" s="45"/>
      <c r="M5" s="45" t="s">
        <v>302</v>
      </c>
      <c r="N5" s="45"/>
      <c r="O5" s="45"/>
      <c r="P5" s="45"/>
      <c r="Q5" s="45"/>
      <c r="R5" s="45"/>
      <c r="S5" s="45"/>
      <c r="T5" s="45"/>
      <c r="U5" s="45"/>
      <c r="X5" s="45" t="s">
        <v>6</v>
      </c>
      <c r="Y5" s="45"/>
      <c r="Z5" s="39" t="s">
        <v>293</v>
      </c>
      <c r="AA5" s="39" t="s">
        <v>294</v>
      </c>
    </row>
    <row r="6" spans="1:29">
      <c r="A6" t="s">
        <v>287</v>
      </c>
      <c r="B6" s="47" t="s">
        <v>6</v>
      </c>
      <c r="C6" s="47"/>
      <c r="D6" s="47" t="s">
        <v>303</v>
      </c>
      <c r="E6" s="47"/>
      <c r="F6" s="47" t="s">
        <v>304</v>
      </c>
      <c r="G6" s="47"/>
      <c r="H6" s="47"/>
      <c r="M6" t="s">
        <v>287</v>
      </c>
      <c r="N6" s="47" t="s">
        <v>6</v>
      </c>
      <c r="O6" s="47"/>
      <c r="P6" s="47" t="s">
        <v>303</v>
      </c>
      <c r="Q6" s="47"/>
      <c r="R6" s="47" t="s">
        <v>304</v>
      </c>
      <c r="S6" s="47"/>
      <c r="T6" s="47"/>
      <c r="X6" s="47" t="s">
        <v>94</v>
      </c>
      <c r="Y6" s="47"/>
      <c r="Z6" s="6">
        <f>_xlfn.XLOOKUP(X6,$B$7:$B$20,$F$7:$F$20,"")</f>
        <v>3.5236081747709656E-3</v>
      </c>
      <c r="AA6" s="11">
        <f>_xlfn.XLOOKUP(X6,$N$7:$N$20,$R$7:$R$20,"")</f>
        <v>4.9641148325358854E-2</v>
      </c>
      <c r="AB6" s="10"/>
      <c r="AC6" s="10"/>
    </row>
    <row r="7" spans="1:29">
      <c r="A7">
        <f>_xlfn.RANK.EQ(D7,$D$7:$D$23,0)</f>
        <v>2</v>
      </c>
      <c r="B7" s="47" t="s">
        <v>28</v>
      </c>
      <c r="C7" s="47"/>
      <c r="D7" s="47">
        <f>SUMIF(Industry_Skillset!$G:$G,B7,Industry_Skillset!$C:$C)</f>
        <v>222</v>
      </c>
      <c r="E7" s="47"/>
      <c r="F7" s="46">
        <f>D7/$D$24</f>
        <v>0.15644820295983086</v>
      </c>
      <c r="G7" s="46"/>
      <c r="H7" s="46"/>
      <c r="M7">
        <f>_xlfn.RANK.EQ(P7,$P$7:$P$23,0)</f>
        <v>1</v>
      </c>
      <c r="N7" s="47" t="s">
        <v>25</v>
      </c>
      <c r="O7" s="47"/>
      <c r="P7" s="47">
        <f>SUMIF(Curriculum_Skillset!$G$2:$G$81,N7,Curriculum_Skillset!$C$2:$C$81)</f>
        <v>429</v>
      </c>
      <c r="Q7" s="47"/>
      <c r="R7" s="46">
        <f>P7/$P$24</f>
        <v>0.25657894736842107</v>
      </c>
      <c r="S7" s="46"/>
      <c r="T7" s="46"/>
      <c r="X7" s="47" t="s">
        <v>20</v>
      </c>
      <c r="Y7" s="47"/>
      <c r="Z7" s="6">
        <f t="shared" ref="Z7:Z22" si="0">_xlfn.XLOOKUP(X7,$B$7:$B$20,$F$7:$F$20,"")</f>
        <v>9.3023255813953487E-2</v>
      </c>
      <c r="AA7" s="11">
        <f>_xlfn.XLOOKUP(X7,$N$7:$N$20,$R$7:$R$20,"")</f>
        <v>3.5287081339712915E-2</v>
      </c>
      <c r="AB7" s="9"/>
      <c r="AC7" s="9"/>
    </row>
    <row r="8" spans="1:29">
      <c r="A8">
        <f>_xlfn.RANK.EQ(D8,$D$7:$D$23,0)</f>
        <v>3</v>
      </c>
      <c r="B8" s="47" t="s">
        <v>12</v>
      </c>
      <c r="C8" s="47"/>
      <c r="D8" s="47">
        <f>SUMIF(Industry_Skillset!$G:$G,B8,Industry_Skillset!$C:$C)</f>
        <v>220</v>
      </c>
      <c r="E8" s="47"/>
      <c r="F8" s="46">
        <f>D8/$D$24</f>
        <v>0.15503875968992248</v>
      </c>
      <c r="G8" s="46"/>
      <c r="H8" s="46"/>
      <c r="M8">
        <f>_xlfn.RANK.EQ(P8,$P$7:$P$23,0)</f>
        <v>2</v>
      </c>
      <c r="N8" s="47" t="s">
        <v>62</v>
      </c>
      <c r="O8" s="47"/>
      <c r="P8" s="47">
        <f>SUMIF(Curriculum_Skillset!$G$2:$G$81,N8,Curriculum_Skillset!$C$2:$C$81)</f>
        <v>251</v>
      </c>
      <c r="Q8" s="47"/>
      <c r="R8" s="46">
        <f>P8/$P$24</f>
        <v>0.15011961722488038</v>
      </c>
      <c r="S8" s="46"/>
      <c r="T8" s="46"/>
      <c r="X8" s="47" t="s">
        <v>133</v>
      </c>
      <c r="Y8" s="47"/>
      <c r="Z8" s="6">
        <f t="shared" si="0"/>
        <v>2.8188865398167725E-3</v>
      </c>
      <c r="AA8" s="11">
        <f t="shared" ref="AA8:AA22" si="1">_xlfn.XLOOKUP(X8,$N$7:$N$20,$R$7:$R$20,"")</f>
        <v>2.1531100478468901E-2</v>
      </c>
      <c r="AB8" s="9"/>
      <c r="AC8" s="9"/>
    </row>
    <row r="9" spans="1:29">
      <c r="A9">
        <f>_xlfn.RANK.EQ(D9,$D$7:$D$23,0)</f>
        <v>1</v>
      </c>
      <c r="B9" s="49" t="s">
        <v>13</v>
      </c>
      <c r="C9" s="49"/>
      <c r="D9" s="47">
        <f>SUMIF(Industry_Skillset!$G:$G,B9,Industry_Skillset!$C:$C)</f>
        <v>227</v>
      </c>
      <c r="E9" s="47"/>
      <c r="F9" s="46">
        <f>D9/$D$24</f>
        <v>0.15997181113460182</v>
      </c>
      <c r="G9" s="46"/>
      <c r="H9" s="46"/>
      <c r="M9">
        <f>_xlfn.RANK.EQ(P9,$P$7:$P$23,0)</f>
        <v>3</v>
      </c>
      <c r="N9" s="49" t="s">
        <v>13</v>
      </c>
      <c r="O9" s="49"/>
      <c r="P9" s="47">
        <f>SUMIF(Curriculum_Skillset!$G$2:$G$81,N9,Curriculum_Skillset!$C$2:$C$81)</f>
        <v>172</v>
      </c>
      <c r="Q9" s="47"/>
      <c r="R9" s="46">
        <f>P9/$P$24</f>
        <v>0.10287081339712918</v>
      </c>
      <c r="S9" s="46"/>
      <c r="T9" s="46"/>
      <c r="X9" s="47" t="s">
        <v>25</v>
      </c>
      <c r="Y9" s="47"/>
      <c r="Z9" s="6">
        <f t="shared" si="0"/>
        <v>0.10711768851303735</v>
      </c>
      <c r="AA9" s="11">
        <f t="shared" si="1"/>
        <v>0.25657894736842107</v>
      </c>
      <c r="AB9" s="9"/>
      <c r="AC9" s="9"/>
    </row>
    <row r="10" spans="1:29">
      <c r="A10">
        <f>_xlfn.RANK.EQ(D10,$D$7:$D$23,0)</f>
        <v>4</v>
      </c>
      <c r="B10" s="47" t="s">
        <v>25</v>
      </c>
      <c r="C10" s="47"/>
      <c r="D10" s="47">
        <f>SUMIF(Industry_Skillset!$G:$G,B10,Industry_Skillset!$C:$C)</f>
        <v>152</v>
      </c>
      <c r="E10" s="47"/>
      <c r="F10" s="46">
        <f>D10/$D$24</f>
        <v>0.10711768851303735</v>
      </c>
      <c r="G10" s="46"/>
      <c r="H10" s="46"/>
      <c r="M10">
        <f>_xlfn.RANK.EQ(P10,$P$7:$P$23,0)</f>
        <v>4</v>
      </c>
      <c r="N10" s="47" t="s">
        <v>9</v>
      </c>
      <c r="O10" s="47"/>
      <c r="P10" s="47">
        <f>SUMIF(Curriculum_Skillset!$G$2:$G$81,N10,Curriculum_Skillset!$C$2:$C$81)</f>
        <v>144</v>
      </c>
      <c r="Q10" s="47"/>
      <c r="R10" s="46">
        <f>P10/$P$24</f>
        <v>8.6124401913875603E-2</v>
      </c>
      <c r="S10" s="46"/>
      <c r="T10" s="46"/>
      <c r="X10" s="47" t="s">
        <v>67</v>
      </c>
      <c r="Y10" s="47"/>
      <c r="Z10" s="6">
        <f t="shared" si="0"/>
        <v>2.4665257223396759E-2</v>
      </c>
      <c r="AA10" s="11">
        <f t="shared" si="1"/>
        <v>6.6985645933014357E-2</v>
      </c>
      <c r="AB10" s="9"/>
      <c r="AC10" s="9"/>
    </row>
    <row r="11" spans="1:29">
      <c r="A11">
        <f>_xlfn.RANK.EQ(D11,$D$7:$D$23,0)</f>
        <v>6</v>
      </c>
      <c r="B11" s="47" t="s">
        <v>9</v>
      </c>
      <c r="C11" s="47"/>
      <c r="D11" s="47">
        <f>SUMIF(Industry_Skillset!$G:$G,B11,Industry_Skillset!$C:$C)</f>
        <v>129</v>
      </c>
      <c r="E11" s="47"/>
      <c r="F11" s="46">
        <f>D11/$D$24</f>
        <v>9.0909090909090912E-2</v>
      </c>
      <c r="G11" s="46"/>
      <c r="H11" s="46"/>
      <c r="M11">
        <f>_xlfn.RANK.EQ(P11,$P$7:$P$23,0)</f>
        <v>5</v>
      </c>
      <c r="N11" s="47" t="s">
        <v>67</v>
      </c>
      <c r="O11" s="47"/>
      <c r="P11" s="47">
        <f>SUMIF(Curriculum_Skillset!$G$2:$G$81,N11,Curriculum_Skillset!$C$2:$C$81)</f>
        <v>112</v>
      </c>
      <c r="Q11" s="47"/>
      <c r="R11" s="46">
        <f>P11/$P$24</f>
        <v>6.6985645933014357E-2</v>
      </c>
      <c r="S11" s="46"/>
      <c r="T11" s="46"/>
      <c r="X11" s="47" t="s">
        <v>38</v>
      </c>
      <c r="Y11" s="47"/>
      <c r="Z11" s="6">
        <f t="shared" si="0"/>
        <v>4.0169133192389003E-2</v>
      </c>
      <c r="AA11" s="11">
        <f t="shared" si="1"/>
        <v>4.2464114832535885E-2</v>
      </c>
      <c r="AB11" s="9"/>
      <c r="AC11" s="9"/>
    </row>
    <row r="12" spans="1:29">
      <c r="A12">
        <f>_xlfn.RANK.EQ(D12,$D$7:$D$23,0)</f>
        <v>5</v>
      </c>
      <c r="B12" s="47" t="s">
        <v>20</v>
      </c>
      <c r="C12" s="47"/>
      <c r="D12" s="47">
        <f>SUMIF(Industry_Skillset!$G:$G,B12,Industry_Skillset!$C:$C)</f>
        <v>132</v>
      </c>
      <c r="E12" s="47"/>
      <c r="F12" s="46">
        <f>D12/$D$24</f>
        <v>9.3023255813953487E-2</v>
      </c>
      <c r="G12" s="46"/>
      <c r="H12" s="46"/>
      <c r="M12">
        <f>_xlfn.RANK.EQ(P12,$P$7:$P$23,0)</f>
        <v>6</v>
      </c>
      <c r="N12" s="47" t="s">
        <v>17</v>
      </c>
      <c r="O12" s="47"/>
      <c r="P12" s="47">
        <f>SUMIF(Curriculum_Skillset!$G$2:$G$81,N12,Curriculum_Skillset!$C$2:$C$81)</f>
        <v>91</v>
      </c>
      <c r="Q12" s="47"/>
      <c r="R12" s="46">
        <f>P12/$P$24</f>
        <v>5.4425837320574162E-2</v>
      </c>
      <c r="S12" s="46"/>
      <c r="T12" s="46"/>
      <c r="X12" s="47" t="s">
        <v>17</v>
      </c>
      <c r="Y12" s="47"/>
      <c r="Z12" s="6">
        <f t="shared" si="0"/>
        <v>5.2854122621564484E-2</v>
      </c>
      <c r="AA12" s="11">
        <f t="shared" si="1"/>
        <v>5.4425837320574162E-2</v>
      </c>
      <c r="AB12" s="9"/>
      <c r="AC12" s="9"/>
    </row>
    <row r="13" spans="1:29">
      <c r="A13">
        <f>_xlfn.RANK.EQ(D13,$D$7:$D$23,0)</f>
        <v>7</v>
      </c>
      <c r="B13" s="47" t="s">
        <v>33</v>
      </c>
      <c r="C13" s="47"/>
      <c r="D13" s="47">
        <f>SUMIF(Industry_Skillset!$G:$G,B13,Industry_Skillset!$C:$C)</f>
        <v>124</v>
      </c>
      <c r="E13" s="47"/>
      <c r="F13" s="46">
        <f>D13/$D$24</f>
        <v>8.7385482734319939E-2</v>
      </c>
      <c r="G13" s="46"/>
      <c r="H13" s="46"/>
      <c r="M13">
        <f>_xlfn.RANK.EQ(P13,$P$7:$P$23,0)</f>
        <v>7</v>
      </c>
      <c r="N13" s="47" t="s">
        <v>33</v>
      </c>
      <c r="O13" s="47"/>
      <c r="P13" s="47">
        <f>SUMIF(Curriculum_Skillset!$G$2:$G$81,N13,Curriculum_Skillset!$C$2:$C$81)</f>
        <v>89</v>
      </c>
      <c r="Q13" s="47"/>
      <c r="R13" s="46">
        <f>P13/$P$24</f>
        <v>5.3229665071770335E-2</v>
      </c>
      <c r="S13" s="46"/>
      <c r="T13" s="46"/>
      <c r="X13" s="47" t="s">
        <v>33</v>
      </c>
      <c r="Y13" s="47"/>
      <c r="Z13" s="6">
        <f t="shared" si="0"/>
        <v>8.7385482734319939E-2</v>
      </c>
      <c r="AA13" s="11">
        <f t="shared" si="1"/>
        <v>5.3229665071770335E-2</v>
      </c>
      <c r="AB13" s="9"/>
      <c r="AC13" s="9"/>
    </row>
    <row r="14" spans="1:29">
      <c r="A14">
        <f>_xlfn.RANK.EQ(D14,$D$7:$D$23,0)</f>
        <v>8</v>
      </c>
      <c r="B14" s="47" t="s">
        <v>17</v>
      </c>
      <c r="C14" s="47"/>
      <c r="D14" s="47">
        <f>SUMIF(Industry_Skillset!$G:$G,B14,Industry_Skillset!$C:$C)</f>
        <v>75</v>
      </c>
      <c r="E14" s="47"/>
      <c r="F14" s="46">
        <f>D14/$D$24</f>
        <v>5.2854122621564484E-2</v>
      </c>
      <c r="G14" s="46"/>
      <c r="H14" s="46"/>
      <c r="M14">
        <f>_xlfn.RANK.EQ(P14,$P$7:$P$23,0)</f>
        <v>8</v>
      </c>
      <c r="N14" s="47" t="s">
        <v>94</v>
      </c>
      <c r="O14" s="47"/>
      <c r="P14" s="47">
        <f>SUMIF(Curriculum_Skillset!$G$2:$G$81,N14,Curriculum_Skillset!$C$2:$C$81)</f>
        <v>83</v>
      </c>
      <c r="Q14" s="47"/>
      <c r="R14" s="46">
        <f>P14/$P$24</f>
        <v>4.9641148325358854E-2</v>
      </c>
      <c r="S14" s="46"/>
      <c r="T14" s="46"/>
      <c r="X14" s="47" t="s">
        <v>100</v>
      </c>
      <c r="Y14" s="47"/>
      <c r="Z14" s="6">
        <f t="shared" si="0"/>
        <v>7.7519379844961239E-3</v>
      </c>
      <c r="AA14" s="11">
        <f t="shared" si="1"/>
        <v>3.2894736842105261E-2</v>
      </c>
      <c r="AB14" s="9"/>
      <c r="AC14" s="9"/>
    </row>
    <row r="15" spans="1:29">
      <c r="A15">
        <f>_xlfn.RANK.EQ(D15,$D$7:$D$23,0)</f>
        <v>9</v>
      </c>
      <c r="B15" s="47" t="s">
        <v>38</v>
      </c>
      <c r="C15" s="47"/>
      <c r="D15" s="47">
        <f>SUMIF(Industry_Skillset!$G:$G,B15,Industry_Skillset!$C:$C)</f>
        <v>57</v>
      </c>
      <c r="E15" s="47"/>
      <c r="F15" s="46">
        <f>D15/$D$24</f>
        <v>4.0169133192389003E-2</v>
      </c>
      <c r="G15" s="46"/>
      <c r="H15" s="46"/>
      <c r="M15">
        <f>_xlfn.RANK.EQ(P15,$P$7:$P$23,0)</f>
        <v>9</v>
      </c>
      <c r="N15" s="47" t="s">
        <v>28</v>
      </c>
      <c r="O15" s="47"/>
      <c r="P15" s="47">
        <f>SUMIF(Curriculum_Skillset!$G$2:$G$81,N15,Curriculum_Skillset!$C$2:$C$81)</f>
        <v>71</v>
      </c>
      <c r="Q15" s="47"/>
      <c r="R15" s="46">
        <f>P15/$P$24</f>
        <v>4.2464114832535885E-2</v>
      </c>
      <c r="S15" s="46"/>
      <c r="T15" s="46"/>
      <c r="X15" s="47" t="s">
        <v>28</v>
      </c>
      <c r="Y15" s="47"/>
      <c r="Z15" s="6">
        <f t="shared" si="0"/>
        <v>0.15644820295983086</v>
      </c>
      <c r="AA15" s="11">
        <f t="shared" si="1"/>
        <v>4.2464114832535885E-2</v>
      </c>
      <c r="AB15" s="9"/>
      <c r="AC15" s="9"/>
    </row>
    <row r="16" spans="1:29">
      <c r="A16">
        <f>_xlfn.RANK.EQ(D16,$D$7:$D$23,0)</f>
        <v>10</v>
      </c>
      <c r="B16" s="47" t="s">
        <v>67</v>
      </c>
      <c r="C16" s="47"/>
      <c r="D16" s="47">
        <f>SUMIF(Industry_Skillset!$G:$G,B16,Industry_Skillset!$C:$C)</f>
        <v>35</v>
      </c>
      <c r="E16" s="47"/>
      <c r="F16" s="46">
        <f>D16/$D$24</f>
        <v>2.4665257223396759E-2</v>
      </c>
      <c r="G16" s="46"/>
      <c r="H16" s="46"/>
      <c r="M16">
        <f>_xlfn.RANK.EQ(P16,$P$7:$P$23,0)</f>
        <v>9</v>
      </c>
      <c r="N16" s="47" t="s">
        <v>38</v>
      </c>
      <c r="O16" s="47"/>
      <c r="P16" s="47">
        <f>SUMIF(Curriculum_Skillset!$G$2:$G$81,N16,Curriculum_Skillset!$C$2:$C$81)</f>
        <v>71</v>
      </c>
      <c r="Q16" s="47"/>
      <c r="R16" s="46">
        <f>P16/$P$24</f>
        <v>4.2464114832535885E-2</v>
      </c>
      <c r="S16" s="46"/>
      <c r="T16" s="46"/>
      <c r="X16" s="49" t="s">
        <v>13</v>
      </c>
      <c r="Y16" s="49"/>
      <c r="Z16" s="6">
        <f t="shared" si="0"/>
        <v>0.15997181113460182</v>
      </c>
      <c r="AA16" s="11">
        <f t="shared" si="1"/>
        <v>0.10287081339712918</v>
      </c>
      <c r="AB16" s="9"/>
      <c r="AC16" s="9"/>
    </row>
    <row r="17" spans="1:29">
      <c r="A17">
        <f>_xlfn.RANK.EQ(D17,$D$7:$D$23,0)</f>
        <v>11</v>
      </c>
      <c r="B17" s="47" t="s">
        <v>62</v>
      </c>
      <c r="C17" s="47"/>
      <c r="D17" s="47">
        <f>SUMIF(Industry_Skillset!$G:$G,B17,Industry_Skillset!$C:$C)</f>
        <v>26</v>
      </c>
      <c r="E17" s="47"/>
      <c r="F17" s="46">
        <f>D17/$D$24</f>
        <v>1.8322762508809022E-2</v>
      </c>
      <c r="G17" s="46"/>
      <c r="H17" s="46"/>
      <c r="M17">
        <f>_xlfn.RANK.EQ(P17,$P$7:$P$23,0)</f>
        <v>11</v>
      </c>
      <c r="N17" s="47" t="s">
        <v>20</v>
      </c>
      <c r="O17" s="47"/>
      <c r="P17" s="47">
        <f>SUMIF(Curriculum_Skillset!$G$2:$G$81,N17,Curriculum_Skillset!$C$2:$C$81)</f>
        <v>59</v>
      </c>
      <c r="Q17" s="47"/>
      <c r="R17" s="46">
        <f>P17/$P$24</f>
        <v>3.5287081339712915E-2</v>
      </c>
      <c r="S17" s="46"/>
      <c r="T17" s="46"/>
      <c r="X17" s="47" t="s">
        <v>12</v>
      </c>
      <c r="Y17" s="47"/>
      <c r="Z17" s="6">
        <f t="shared" si="0"/>
        <v>0.15503875968992248</v>
      </c>
      <c r="AA17" s="11">
        <f t="shared" si="1"/>
        <v>5.3827751196172252E-3</v>
      </c>
      <c r="AB17" s="9"/>
      <c r="AC17" s="9"/>
    </row>
    <row r="18" spans="1:29">
      <c r="A18">
        <f>_xlfn.RANK.EQ(D18,$D$7:$D$23,0)</f>
        <v>12</v>
      </c>
      <c r="B18" s="47" t="s">
        <v>100</v>
      </c>
      <c r="C18" s="47"/>
      <c r="D18" s="47">
        <f>SUMIF(Industry_Skillset!$G:$G,B18,Industry_Skillset!$C:$C)</f>
        <v>11</v>
      </c>
      <c r="E18" s="47"/>
      <c r="F18" s="46">
        <f>D18/$D$24</f>
        <v>7.7519379844961239E-3</v>
      </c>
      <c r="G18" s="46"/>
      <c r="H18" s="46"/>
      <c r="M18">
        <f>_xlfn.RANK.EQ(P18,$P$7:$P$23,0)</f>
        <v>12</v>
      </c>
      <c r="N18" s="47" t="s">
        <v>100</v>
      </c>
      <c r="O18" s="47"/>
      <c r="P18" s="47">
        <f>SUMIF(Curriculum_Skillset!$G$2:$G$81,N18,Curriculum_Skillset!$C$2:$C$81)</f>
        <v>55</v>
      </c>
      <c r="Q18" s="47"/>
      <c r="R18" s="46">
        <f>P18/$P$24</f>
        <v>3.2894736842105261E-2</v>
      </c>
      <c r="S18" s="46"/>
      <c r="T18" s="46"/>
      <c r="X18" s="47" t="s">
        <v>9</v>
      </c>
      <c r="Y18" s="47"/>
      <c r="Z18" s="6">
        <f t="shared" si="0"/>
        <v>9.0909090909090912E-2</v>
      </c>
      <c r="AA18" s="11">
        <f t="shared" si="1"/>
        <v>8.6124401913875603E-2</v>
      </c>
      <c r="AB18" s="9"/>
      <c r="AC18" s="9"/>
    </row>
    <row r="19" spans="1:29">
      <c r="A19">
        <f>_xlfn.RANK.EQ(D19,$D$7:$D$23,0)</f>
        <v>13</v>
      </c>
      <c r="B19" s="47" t="s">
        <v>94</v>
      </c>
      <c r="C19" s="47"/>
      <c r="D19" s="47">
        <f>SUMIF(Industry_Skillset!$G:$G,B19,Industry_Skillset!$C:$C)</f>
        <v>5</v>
      </c>
      <c r="E19" s="47"/>
      <c r="F19" s="46">
        <f>D19/$D$24</f>
        <v>3.5236081747709656E-3</v>
      </c>
      <c r="G19" s="46"/>
      <c r="H19" s="46"/>
      <c r="M19">
        <f>_xlfn.RANK.EQ(P19,$P$7:$P$23,0)</f>
        <v>13</v>
      </c>
      <c r="N19" s="47" t="s">
        <v>133</v>
      </c>
      <c r="O19" s="47"/>
      <c r="P19" s="47">
        <f>SUMIF(Curriculum_Skillset!$G$2:$G$81,N19,Curriculum_Skillset!$C$2:$C$81)</f>
        <v>36</v>
      </c>
      <c r="Q19" s="47"/>
      <c r="R19" s="46">
        <f>P19/$P$24</f>
        <v>2.1531100478468901E-2</v>
      </c>
      <c r="S19" s="46"/>
      <c r="T19" s="46"/>
      <c r="X19" s="47" t="s">
        <v>62</v>
      </c>
      <c r="Y19" s="47"/>
      <c r="Z19" s="6">
        <f t="shared" si="0"/>
        <v>1.8322762508809022E-2</v>
      </c>
      <c r="AA19" s="11">
        <f t="shared" si="1"/>
        <v>0.15011961722488038</v>
      </c>
      <c r="AB19" s="9"/>
      <c r="AC19" s="9"/>
    </row>
    <row r="20" spans="1:29">
      <c r="A20">
        <f>_xlfn.RANK.EQ(D20,$D$7:$D$23,0)</f>
        <v>14</v>
      </c>
      <c r="B20" s="47" t="s">
        <v>133</v>
      </c>
      <c r="C20" s="47"/>
      <c r="D20" s="47">
        <f>SUMIF(Industry_Skillset!$G:$G,B20,Industry_Skillset!$C:$C)</f>
        <v>4</v>
      </c>
      <c r="E20" s="47"/>
      <c r="F20" s="46">
        <f>D20/$D$24</f>
        <v>2.8188865398167725E-3</v>
      </c>
      <c r="G20" s="46"/>
      <c r="H20" s="46"/>
      <c r="M20">
        <f>_xlfn.RANK.EQ(P20,$P$7:$P$23,0)</f>
        <v>14</v>
      </c>
      <c r="N20" s="47" t="s">
        <v>12</v>
      </c>
      <c r="O20" s="47"/>
      <c r="P20" s="47">
        <f>SUMIF(Curriculum_Skillset!$G$2:$G$81,N20,Curriculum_Skillset!$C$2:$C$81)</f>
        <v>9</v>
      </c>
      <c r="Q20" s="47"/>
      <c r="R20" s="46">
        <f>P20/$P$24</f>
        <v>5.3827751196172252E-3</v>
      </c>
      <c r="S20" s="46"/>
      <c r="T20" s="46"/>
      <c r="X20" s="47"/>
      <c r="Y20" s="47"/>
      <c r="Z20" s="6"/>
      <c r="AA20" s="11"/>
      <c r="AB20" s="9"/>
      <c r="AC20" s="9"/>
    </row>
    <row r="21" spans="1:29">
      <c r="B21" s="47"/>
      <c r="C21" s="47"/>
      <c r="D21" s="47"/>
      <c r="E21" s="47"/>
      <c r="F21" s="46"/>
      <c r="G21" s="46"/>
      <c r="H21" s="46"/>
      <c r="N21" s="47"/>
      <c r="O21" s="47"/>
      <c r="P21" s="47"/>
      <c r="Q21" s="47"/>
      <c r="R21" s="46"/>
      <c r="S21" s="46"/>
      <c r="T21" s="46"/>
      <c r="X21" s="47"/>
      <c r="Y21" s="47"/>
      <c r="Z21" s="6"/>
      <c r="AA21" s="11"/>
      <c r="AB21" s="9"/>
      <c r="AC21" s="9"/>
    </row>
    <row r="22" spans="1:29">
      <c r="B22" s="47"/>
      <c r="C22" s="47"/>
      <c r="D22" s="47"/>
      <c r="E22" s="47"/>
      <c r="F22" s="46"/>
      <c r="G22" s="46"/>
      <c r="H22" s="46"/>
      <c r="N22" s="47"/>
      <c r="O22" s="47"/>
      <c r="P22" s="47"/>
      <c r="Q22" s="47"/>
      <c r="R22" s="46"/>
      <c r="S22" s="46"/>
      <c r="T22" s="46"/>
      <c r="X22" s="47"/>
      <c r="Y22" s="47"/>
      <c r="Z22" s="6"/>
      <c r="AA22" s="11"/>
      <c r="AB22" s="9"/>
      <c r="AC22" s="9"/>
    </row>
    <row r="23" spans="1:29">
      <c r="B23" s="47"/>
      <c r="C23" s="47"/>
      <c r="D23" s="47"/>
      <c r="E23" s="47"/>
      <c r="F23" s="46"/>
      <c r="G23" s="46"/>
      <c r="H23" s="46"/>
      <c r="N23" s="47"/>
      <c r="O23" s="47"/>
      <c r="P23" s="47"/>
      <c r="Q23" s="47"/>
      <c r="R23" s="46"/>
      <c r="S23" s="46"/>
      <c r="T23" s="46"/>
    </row>
    <row r="24" spans="1:29">
      <c r="C24" s="3" t="s">
        <v>305</v>
      </c>
      <c r="D24" s="45">
        <f>SUM(D7:D23)</f>
        <v>1419</v>
      </c>
      <c r="E24" s="45"/>
      <c r="O24" s="3" t="s">
        <v>305</v>
      </c>
      <c r="P24" s="45">
        <f>SUM(P7:P23)</f>
        <v>1672</v>
      </c>
      <c r="Q24" s="45"/>
    </row>
    <row r="29" spans="1:29">
      <c r="B29" s="4" t="s">
        <v>292</v>
      </c>
      <c r="C29" s="4" t="s">
        <v>293</v>
      </c>
      <c r="D29" s="4" t="s">
        <v>294</v>
      </c>
      <c r="Y29" s="47"/>
      <c r="Z29" s="47"/>
      <c r="AA29" s="6"/>
      <c r="AB29" s="11"/>
    </row>
    <row r="30" spans="1:29">
      <c r="B30" t="s">
        <v>306</v>
      </c>
      <c r="C30" s="7">
        <f>COUNTA(B7:B23)</f>
        <v>14</v>
      </c>
      <c r="D30" s="7">
        <f>COUNTA(N7:N23)</f>
        <v>14</v>
      </c>
      <c r="Y30" s="47"/>
      <c r="Z30" s="47"/>
      <c r="AA30" s="6"/>
      <c r="AB30" s="11"/>
    </row>
    <row r="31" spans="1:29">
      <c r="B31" t="s">
        <v>307</v>
      </c>
      <c r="C31" s="7">
        <f>D24</f>
        <v>1419</v>
      </c>
      <c r="D31" s="7">
        <f>P24</f>
        <v>1672</v>
      </c>
      <c r="Y31" s="47"/>
      <c r="Z31" s="47"/>
      <c r="AA31" s="6"/>
      <c r="AB31" s="11"/>
    </row>
    <row r="32" spans="1:29">
      <c r="B32" t="s">
        <v>308</v>
      </c>
      <c r="C32" s="7">
        <f>MAX(D7:D23)</f>
        <v>227</v>
      </c>
      <c r="D32" s="7">
        <f>MAX(P7:P23)</f>
        <v>429</v>
      </c>
      <c r="Y32" s="47"/>
      <c r="Z32" s="47"/>
      <c r="AA32" s="6"/>
      <c r="AB32" s="11"/>
    </row>
    <row r="33" spans="2:28">
      <c r="B33" t="s">
        <v>309</v>
      </c>
      <c r="C33" s="8">
        <f>MAX(F7:F23)</f>
        <v>0.15997181113460182</v>
      </c>
      <c r="D33" s="8">
        <f>MAX(R7:R23)</f>
        <v>0.25657894736842107</v>
      </c>
      <c r="Y33" s="47"/>
      <c r="Z33" s="47"/>
      <c r="AA33" s="6"/>
      <c r="AB33" s="11"/>
    </row>
    <row r="34" spans="2:28">
      <c r="Y34" s="47"/>
      <c r="Z34" s="47"/>
      <c r="AA34" s="6"/>
      <c r="AB34" s="11"/>
    </row>
    <row r="35" spans="2:28">
      <c r="Y35" s="47"/>
      <c r="Z35" s="47"/>
      <c r="AA35" s="6"/>
      <c r="AB35" s="11"/>
    </row>
    <row r="36" spans="2:28">
      <c r="Y36" s="49"/>
      <c r="Z36" s="49"/>
      <c r="AA36" s="6"/>
      <c r="AB36" s="11"/>
    </row>
    <row r="37" spans="2:28">
      <c r="Y37" s="47"/>
      <c r="Z37" s="47"/>
      <c r="AA37" s="6"/>
      <c r="AB37" s="11"/>
    </row>
    <row r="38" spans="2:28">
      <c r="Y38" s="47"/>
      <c r="Z38" s="47"/>
      <c r="AA38" s="6"/>
      <c r="AB38" s="11"/>
    </row>
    <row r="39" spans="2:28">
      <c r="Y39" s="47"/>
      <c r="Z39" s="47"/>
      <c r="AA39" s="6"/>
      <c r="AB39" s="11"/>
    </row>
  </sheetData>
  <sortState xmlns:xlrd2="http://schemas.microsoft.com/office/spreadsheetml/2017/richdata2" ref="X6:AA22">
    <sortCondition ref="X6:X22"/>
  </sortState>
  <mergeCells count="143">
    <mergeCell ref="P24:Q24"/>
    <mergeCell ref="P21:Q21"/>
    <mergeCell ref="P22:Q22"/>
    <mergeCell ref="P23:Q23"/>
    <mergeCell ref="F22:H22"/>
    <mergeCell ref="F23:H23"/>
    <mergeCell ref="F21:H21"/>
    <mergeCell ref="N21:O21"/>
    <mergeCell ref="N22:O22"/>
    <mergeCell ref="N23:O23"/>
    <mergeCell ref="P12:Q12"/>
    <mergeCell ref="P13:Q13"/>
    <mergeCell ref="P14:Q14"/>
    <mergeCell ref="P15:Q15"/>
    <mergeCell ref="P16:Q16"/>
    <mergeCell ref="P7:Q7"/>
    <mergeCell ref="P8:Q8"/>
    <mergeCell ref="P9:Q9"/>
    <mergeCell ref="P10:Q10"/>
    <mergeCell ref="P11:Q11"/>
    <mergeCell ref="P17:Q17"/>
    <mergeCell ref="P18:Q18"/>
    <mergeCell ref="P19:Q19"/>
    <mergeCell ref="P20:Q20"/>
    <mergeCell ref="F17:H17"/>
    <mergeCell ref="F18:H18"/>
    <mergeCell ref="F19:H19"/>
    <mergeCell ref="F20:H20"/>
    <mergeCell ref="N17:O17"/>
    <mergeCell ref="N18:O18"/>
    <mergeCell ref="N19:O19"/>
    <mergeCell ref="N20:O20"/>
    <mergeCell ref="D24:E24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D17:E17"/>
    <mergeCell ref="D18:E18"/>
    <mergeCell ref="D19:E19"/>
    <mergeCell ref="B22:C22"/>
    <mergeCell ref="B23:C23"/>
    <mergeCell ref="B17:C17"/>
    <mergeCell ref="B18:C18"/>
    <mergeCell ref="B19:C19"/>
    <mergeCell ref="B20:C20"/>
    <mergeCell ref="B21:C21"/>
    <mergeCell ref="D20:E20"/>
    <mergeCell ref="D21:E21"/>
    <mergeCell ref="D22:E22"/>
    <mergeCell ref="D23:E23"/>
    <mergeCell ref="B12:C12"/>
    <mergeCell ref="B13:C13"/>
    <mergeCell ref="B14:C14"/>
    <mergeCell ref="B15:C15"/>
    <mergeCell ref="B16:C16"/>
    <mergeCell ref="N12:O12"/>
    <mergeCell ref="N13:O13"/>
    <mergeCell ref="N14:O14"/>
    <mergeCell ref="N15:O15"/>
    <mergeCell ref="N16:O16"/>
    <mergeCell ref="D12:E12"/>
    <mergeCell ref="D13:E13"/>
    <mergeCell ref="D14:E14"/>
    <mergeCell ref="D15:E15"/>
    <mergeCell ref="D16:E16"/>
    <mergeCell ref="A1:S1"/>
    <mergeCell ref="A2:S2"/>
    <mergeCell ref="A5:J5"/>
    <mergeCell ref="B6:C6"/>
    <mergeCell ref="D6:E6"/>
    <mergeCell ref="F6:H6"/>
    <mergeCell ref="M5:U5"/>
    <mergeCell ref="N6:O6"/>
    <mergeCell ref="P6:Q6"/>
    <mergeCell ref="B9:C9"/>
    <mergeCell ref="B10:C10"/>
    <mergeCell ref="B11:C11"/>
    <mergeCell ref="R7:T7"/>
    <mergeCell ref="R8:T8"/>
    <mergeCell ref="R9:T9"/>
    <mergeCell ref="R10:T10"/>
    <mergeCell ref="R11:T11"/>
    <mergeCell ref="R6:T6"/>
    <mergeCell ref="B7:C7"/>
    <mergeCell ref="B8:C8"/>
    <mergeCell ref="N7:O7"/>
    <mergeCell ref="N8:O8"/>
    <mergeCell ref="N9:O9"/>
    <mergeCell ref="N10:O10"/>
    <mergeCell ref="N11:O11"/>
    <mergeCell ref="D7:E7"/>
    <mergeCell ref="D8:E8"/>
    <mergeCell ref="D9:E9"/>
    <mergeCell ref="D10:E10"/>
    <mergeCell ref="D11:E11"/>
    <mergeCell ref="R22:T22"/>
    <mergeCell ref="R23:T23"/>
    <mergeCell ref="R17:T17"/>
    <mergeCell ref="R18:T18"/>
    <mergeCell ref="R19:T19"/>
    <mergeCell ref="R20:T20"/>
    <mergeCell ref="R21:T21"/>
    <mergeCell ref="R12:T12"/>
    <mergeCell ref="R13:T13"/>
    <mergeCell ref="R14:T14"/>
    <mergeCell ref="R15:T15"/>
    <mergeCell ref="R16:T16"/>
    <mergeCell ref="X10:Y10"/>
    <mergeCell ref="X11:Y11"/>
    <mergeCell ref="X12:Y12"/>
    <mergeCell ref="X13:Y13"/>
    <mergeCell ref="X14:Y14"/>
    <mergeCell ref="Y29:Z29"/>
    <mergeCell ref="Y30:Z30"/>
    <mergeCell ref="Y31:Z31"/>
    <mergeCell ref="X5:Y5"/>
    <mergeCell ref="X6:Y6"/>
    <mergeCell ref="X7:Y7"/>
    <mergeCell ref="X8:Y8"/>
    <mergeCell ref="X9:Y9"/>
    <mergeCell ref="X20:Y20"/>
    <mergeCell ref="X21:Y21"/>
    <mergeCell ref="X22:Y22"/>
    <mergeCell ref="X15:Y15"/>
    <mergeCell ref="X16:Y16"/>
    <mergeCell ref="X17:Y17"/>
    <mergeCell ref="X18:Y18"/>
    <mergeCell ref="Y32:Z32"/>
    <mergeCell ref="Y33:Z33"/>
    <mergeCell ref="Y34:Z34"/>
    <mergeCell ref="Y35:Z35"/>
    <mergeCell ref="Y36:Z36"/>
    <mergeCell ref="Y37:Z37"/>
    <mergeCell ref="Y38:Z38"/>
    <mergeCell ref="Y39:Z39"/>
    <mergeCell ref="X19:Y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B4F6-81E1-4BFC-BF29-8F905DA078B1}">
  <dimension ref="A1:K127"/>
  <sheetViews>
    <sheetView workbookViewId="0">
      <selection activeCell="A2" sqref="A2"/>
    </sheetView>
  </sheetViews>
  <sheetFormatPr defaultRowHeight="15"/>
  <cols>
    <col min="1" max="1" width="37" style="13" customWidth="1"/>
    <col min="2" max="2" width="39.7109375" customWidth="1"/>
    <col min="3" max="3" width="16.5703125" customWidth="1"/>
    <col min="4" max="4" width="15.140625" customWidth="1"/>
    <col min="5" max="5" width="34.85546875" customWidth="1"/>
    <col min="6" max="6" width="15.42578125" customWidth="1"/>
    <col min="7" max="7" width="14.7109375" customWidth="1"/>
    <col min="8" max="8" width="18.42578125" customWidth="1"/>
    <col min="9" max="9" width="14.7109375" customWidth="1"/>
    <col min="10" max="10" width="26.85546875" customWidth="1"/>
    <col min="11" max="11" width="28.42578125" customWidth="1"/>
  </cols>
  <sheetData>
    <row r="1" spans="1:11" ht="49.5" customHeight="1">
      <c r="A1" s="22" t="s">
        <v>310</v>
      </c>
      <c r="B1" s="22" t="s">
        <v>311</v>
      </c>
      <c r="C1" s="22" t="s">
        <v>312</v>
      </c>
      <c r="D1" s="22" t="s">
        <v>313</v>
      </c>
      <c r="E1" s="22" t="s">
        <v>314</v>
      </c>
      <c r="F1" s="22" t="s">
        <v>315</v>
      </c>
      <c r="G1" s="22" t="s">
        <v>316</v>
      </c>
      <c r="H1" s="22" t="s">
        <v>317</v>
      </c>
      <c r="I1" s="22" t="s">
        <v>318</v>
      </c>
      <c r="J1" s="22" t="s">
        <v>319</v>
      </c>
      <c r="K1" s="22" t="s">
        <v>320</v>
      </c>
    </row>
    <row r="2" spans="1:11">
      <c r="A2" s="29" t="s">
        <v>7</v>
      </c>
      <c r="B2" s="29" t="s">
        <v>7</v>
      </c>
      <c r="C2" s="32">
        <v>117</v>
      </c>
      <c r="D2" s="33">
        <v>90</v>
      </c>
      <c r="E2" s="23" t="s">
        <v>7</v>
      </c>
      <c r="F2" s="30">
        <v>79</v>
      </c>
      <c r="G2" s="33">
        <v>98.75</v>
      </c>
      <c r="H2" s="25" t="s">
        <v>321</v>
      </c>
      <c r="I2" s="23" t="s">
        <v>322</v>
      </c>
      <c r="J2" s="23" t="s">
        <v>9</v>
      </c>
      <c r="K2" s="23" t="s">
        <v>9</v>
      </c>
    </row>
    <row r="3" spans="1:11">
      <c r="A3" s="29" t="s">
        <v>10</v>
      </c>
      <c r="B3" s="29" t="s">
        <v>10</v>
      </c>
      <c r="C3" s="32">
        <v>110</v>
      </c>
      <c r="D3" s="33">
        <v>84.62</v>
      </c>
      <c r="E3" s="23"/>
      <c r="F3" s="30"/>
      <c r="G3" s="33"/>
      <c r="H3" s="26" t="s">
        <v>323</v>
      </c>
      <c r="I3" s="23" t="s">
        <v>324</v>
      </c>
      <c r="J3" s="23" t="s">
        <v>12</v>
      </c>
      <c r="K3" s="23"/>
    </row>
    <row r="4" spans="1:11">
      <c r="A4" s="29" t="s">
        <v>13</v>
      </c>
      <c r="B4" s="29" t="s">
        <v>13</v>
      </c>
      <c r="C4" s="32">
        <v>107</v>
      </c>
      <c r="D4" s="33">
        <v>82.31</v>
      </c>
      <c r="E4" s="23" t="s">
        <v>13</v>
      </c>
      <c r="F4" s="30">
        <v>75</v>
      </c>
      <c r="G4" s="33">
        <v>93.75</v>
      </c>
      <c r="H4" s="25" t="s">
        <v>321</v>
      </c>
      <c r="I4" s="23" t="s">
        <v>322</v>
      </c>
      <c r="J4" s="23" t="s">
        <v>13</v>
      </c>
      <c r="K4" s="23" t="s">
        <v>13</v>
      </c>
    </row>
    <row r="5" spans="1:11">
      <c r="A5" s="29" t="s">
        <v>14</v>
      </c>
      <c r="B5" s="29" t="s">
        <v>14</v>
      </c>
      <c r="C5" s="32">
        <v>100</v>
      </c>
      <c r="D5" s="33">
        <v>76.92</v>
      </c>
      <c r="E5" s="23"/>
      <c r="F5" s="30"/>
      <c r="G5" s="33"/>
      <c r="H5" s="26" t="s">
        <v>323</v>
      </c>
      <c r="I5" s="23" t="s">
        <v>324</v>
      </c>
      <c r="J5" s="23" t="s">
        <v>12</v>
      </c>
      <c r="K5" s="23"/>
    </row>
    <row r="6" spans="1:11">
      <c r="A6" s="29" t="s">
        <v>16</v>
      </c>
      <c r="B6" s="29" t="s">
        <v>16</v>
      </c>
      <c r="C6" s="32">
        <v>69</v>
      </c>
      <c r="D6" s="33">
        <v>53.08</v>
      </c>
      <c r="E6" s="23" t="s">
        <v>16</v>
      </c>
      <c r="F6" s="30">
        <v>32</v>
      </c>
      <c r="G6" s="33">
        <v>40</v>
      </c>
      <c r="H6" s="25" t="s">
        <v>321</v>
      </c>
      <c r="I6" s="23" t="s">
        <v>322</v>
      </c>
      <c r="J6" s="23" t="s">
        <v>17</v>
      </c>
      <c r="K6" s="23" t="s">
        <v>17</v>
      </c>
    </row>
    <row r="7" spans="1:11">
      <c r="A7" s="29" t="s">
        <v>18</v>
      </c>
      <c r="B7" s="29" t="s">
        <v>18</v>
      </c>
      <c r="C7" s="32">
        <v>63</v>
      </c>
      <c r="D7" s="33">
        <v>48.46</v>
      </c>
      <c r="E7" s="23" t="s">
        <v>213</v>
      </c>
      <c r="F7" s="30">
        <v>13</v>
      </c>
      <c r="G7" s="33">
        <v>16.25</v>
      </c>
      <c r="H7" s="25" t="s">
        <v>321</v>
      </c>
      <c r="I7" s="23" t="s">
        <v>322</v>
      </c>
      <c r="J7" s="23" t="s">
        <v>20</v>
      </c>
      <c r="K7" s="23" t="s">
        <v>20</v>
      </c>
    </row>
    <row r="8" spans="1:11">
      <c r="A8" s="29" t="s">
        <v>21</v>
      </c>
      <c r="B8" s="29" t="s">
        <v>21</v>
      </c>
      <c r="C8" s="32">
        <v>62</v>
      </c>
      <c r="D8" s="33">
        <v>47.69</v>
      </c>
      <c r="E8" s="23" t="s">
        <v>13</v>
      </c>
      <c r="F8" s="30">
        <v>75</v>
      </c>
      <c r="G8" s="33">
        <v>93.75</v>
      </c>
      <c r="H8" s="27" t="s">
        <v>325</v>
      </c>
      <c r="I8" s="23" t="s">
        <v>326</v>
      </c>
      <c r="J8" s="23" t="s">
        <v>13</v>
      </c>
      <c r="K8" s="23" t="s">
        <v>13</v>
      </c>
    </row>
    <row r="9" spans="1:11">
      <c r="A9" s="29" t="s">
        <v>23</v>
      </c>
      <c r="B9" s="29" t="s">
        <v>23</v>
      </c>
      <c r="C9" s="32">
        <v>62</v>
      </c>
      <c r="D9" s="33">
        <v>47.69</v>
      </c>
      <c r="E9" s="23" t="s">
        <v>151</v>
      </c>
      <c r="F9" s="30">
        <v>80</v>
      </c>
      <c r="G9" s="33">
        <v>100</v>
      </c>
      <c r="H9" s="25" t="s">
        <v>321</v>
      </c>
      <c r="I9" s="23" t="s">
        <v>327</v>
      </c>
      <c r="J9" s="23" t="s">
        <v>25</v>
      </c>
      <c r="K9" s="23" t="s">
        <v>25</v>
      </c>
    </row>
    <row r="10" spans="1:11">
      <c r="A10" s="29" t="s">
        <v>26</v>
      </c>
      <c r="B10" s="29" t="s">
        <v>26</v>
      </c>
      <c r="C10" s="32">
        <v>48</v>
      </c>
      <c r="D10" s="33">
        <v>36.92</v>
      </c>
      <c r="E10" s="23" t="s">
        <v>159</v>
      </c>
      <c r="F10" s="30">
        <v>56</v>
      </c>
      <c r="G10" s="33">
        <v>70</v>
      </c>
      <c r="H10" s="27" t="s">
        <v>325</v>
      </c>
      <c r="I10" s="23" t="s">
        <v>326</v>
      </c>
      <c r="J10" s="23" t="s">
        <v>28</v>
      </c>
      <c r="K10" s="23" t="s">
        <v>28</v>
      </c>
    </row>
    <row r="11" spans="1:11">
      <c r="A11" s="29" t="s">
        <v>29</v>
      </c>
      <c r="B11" s="29" t="s">
        <v>29</v>
      </c>
      <c r="C11" s="32">
        <v>45</v>
      </c>
      <c r="D11" s="33">
        <v>34.619999999999997</v>
      </c>
      <c r="E11" s="23" t="s">
        <v>29</v>
      </c>
      <c r="F11" s="30">
        <v>8</v>
      </c>
      <c r="G11" s="33">
        <v>10</v>
      </c>
      <c r="H11" s="25" t="s">
        <v>321</v>
      </c>
      <c r="I11" s="23" t="s">
        <v>322</v>
      </c>
      <c r="J11" s="23" t="s">
        <v>28</v>
      </c>
      <c r="K11" s="23" t="s">
        <v>28</v>
      </c>
    </row>
    <row r="12" spans="1:11">
      <c r="A12" s="29" t="s">
        <v>31</v>
      </c>
      <c r="B12" s="29" t="s">
        <v>31</v>
      </c>
      <c r="C12" s="32">
        <v>44</v>
      </c>
      <c r="D12" s="33">
        <v>33.85</v>
      </c>
      <c r="E12" s="23" t="s">
        <v>33</v>
      </c>
      <c r="F12" s="30">
        <v>63</v>
      </c>
      <c r="G12" s="33">
        <v>78.75</v>
      </c>
      <c r="H12" s="27" t="s">
        <v>325</v>
      </c>
      <c r="I12" s="23" t="s">
        <v>326</v>
      </c>
      <c r="J12" s="23" t="s">
        <v>33</v>
      </c>
      <c r="K12" s="23" t="s">
        <v>33</v>
      </c>
    </row>
    <row r="13" spans="1:11">
      <c r="A13" s="29" t="s">
        <v>34</v>
      </c>
      <c r="B13" s="29" t="s">
        <v>34</v>
      </c>
      <c r="C13" s="32">
        <v>42</v>
      </c>
      <c r="D13" s="33">
        <v>32.31</v>
      </c>
      <c r="E13" s="23" t="s">
        <v>33</v>
      </c>
      <c r="F13" s="30">
        <v>63</v>
      </c>
      <c r="G13" s="33">
        <v>78.75</v>
      </c>
      <c r="H13" s="27" t="s">
        <v>325</v>
      </c>
      <c r="I13" s="23" t="s">
        <v>326</v>
      </c>
      <c r="J13" s="23" t="s">
        <v>33</v>
      </c>
      <c r="K13" s="23" t="s">
        <v>33</v>
      </c>
    </row>
    <row r="14" spans="1:11">
      <c r="A14" s="29" t="s">
        <v>36</v>
      </c>
      <c r="B14" s="29" t="s">
        <v>36</v>
      </c>
      <c r="C14" s="32">
        <v>39</v>
      </c>
      <c r="D14" s="33">
        <v>30</v>
      </c>
      <c r="E14" s="23" t="s">
        <v>36</v>
      </c>
      <c r="F14" s="30">
        <v>35</v>
      </c>
      <c r="G14" s="33">
        <v>43.75</v>
      </c>
      <c r="H14" s="25" t="s">
        <v>321</v>
      </c>
      <c r="I14" s="23" t="s">
        <v>322</v>
      </c>
      <c r="J14" s="23" t="s">
        <v>38</v>
      </c>
      <c r="K14" s="23" t="s">
        <v>38</v>
      </c>
    </row>
    <row r="15" spans="1:11">
      <c r="A15" s="29" t="s">
        <v>39</v>
      </c>
      <c r="B15" s="29" t="s">
        <v>39</v>
      </c>
      <c r="C15" s="32">
        <v>39</v>
      </c>
      <c r="D15" s="33">
        <v>30</v>
      </c>
      <c r="E15" s="23" t="s">
        <v>159</v>
      </c>
      <c r="F15" s="30">
        <v>56</v>
      </c>
      <c r="G15" s="33">
        <v>70</v>
      </c>
      <c r="H15" s="25" t="s">
        <v>321</v>
      </c>
      <c r="I15" s="23" t="s">
        <v>327</v>
      </c>
      <c r="J15" s="23" t="s">
        <v>28</v>
      </c>
      <c r="K15" s="23" t="s">
        <v>28</v>
      </c>
    </row>
    <row r="16" spans="1:11">
      <c r="A16" s="29" t="s">
        <v>33</v>
      </c>
      <c r="B16" s="29" t="s">
        <v>33</v>
      </c>
      <c r="C16" s="32">
        <v>38</v>
      </c>
      <c r="D16" s="33">
        <v>29.23</v>
      </c>
      <c r="E16" s="23" t="s">
        <v>33</v>
      </c>
      <c r="F16" s="30">
        <v>63</v>
      </c>
      <c r="G16" s="33">
        <v>78.75</v>
      </c>
      <c r="H16" s="25" t="s">
        <v>321</v>
      </c>
      <c r="I16" s="23" t="s">
        <v>322</v>
      </c>
      <c r="J16" s="23" t="s">
        <v>33</v>
      </c>
      <c r="K16" s="23" t="s">
        <v>33</v>
      </c>
    </row>
    <row r="17" spans="1:11">
      <c r="A17" s="29" t="s">
        <v>42</v>
      </c>
      <c r="B17" s="29" t="s">
        <v>42</v>
      </c>
      <c r="C17" s="32">
        <v>31</v>
      </c>
      <c r="D17" s="33">
        <v>23.85</v>
      </c>
      <c r="E17" s="23" t="s">
        <v>197</v>
      </c>
      <c r="F17" s="30">
        <v>19</v>
      </c>
      <c r="G17" s="33">
        <v>23.75</v>
      </c>
      <c r="H17" s="27" t="s">
        <v>325</v>
      </c>
      <c r="I17" s="23" t="s">
        <v>326</v>
      </c>
      <c r="J17" s="23" t="s">
        <v>13</v>
      </c>
      <c r="K17" s="23" t="s">
        <v>25</v>
      </c>
    </row>
    <row r="18" spans="1:11">
      <c r="A18" s="29" t="s">
        <v>44</v>
      </c>
      <c r="B18" s="29" t="s">
        <v>44</v>
      </c>
      <c r="C18" s="32">
        <v>28</v>
      </c>
      <c r="D18" s="33">
        <v>21.54</v>
      </c>
      <c r="E18" s="23"/>
      <c r="F18" s="30"/>
      <c r="G18" s="33"/>
      <c r="H18" s="26" t="s">
        <v>323</v>
      </c>
      <c r="I18" s="23" t="s">
        <v>324</v>
      </c>
      <c r="J18" s="23" t="s">
        <v>28</v>
      </c>
      <c r="K18" s="23"/>
    </row>
    <row r="19" spans="1:11">
      <c r="A19" s="29" t="s">
        <v>46</v>
      </c>
      <c r="B19" s="29" t="s">
        <v>46</v>
      </c>
      <c r="C19" s="32">
        <v>25</v>
      </c>
      <c r="D19" s="33">
        <v>19.23</v>
      </c>
      <c r="E19" s="23"/>
      <c r="F19" s="30"/>
      <c r="G19" s="33"/>
      <c r="H19" s="26" t="s">
        <v>323</v>
      </c>
      <c r="I19" s="23" t="s">
        <v>324</v>
      </c>
      <c r="J19" s="23" t="s">
        <v>20</v>
      </c>
      <c r="K19" s="23"/>
    </row>
    <row r="20" spans="1:11">
      <c r="A20" s="29" t="s">
        <v>48</v>
      </c>
      <c r="B20" s="29" t="s">
        <v>48</v>
      </c>
      <c r="C20" s="32">
        <v>24</v>
      </c>
      <c r="D20" s="33">
        <v>18.46</v>
      </c>
      <c r="E20" s="23"/>
      <c r="F20" s="30"/>
      <c r="G20" s="33"/>
      <c r="H20" s="26" t="s">
        <v>323</v>
      </c>
      <c r="I20" s="23" t="s">
        <v>324</v>
      </c>
      <c r="J20" s="23" t="s">
        <v>20</v>
      </c>
      <c r="K20" s="23"/>
    </row>
    <row r="21" spans="1:11">
      <c r="A21" s="29" t="s">
        <v>50</v>
      </c>
      <c r="B21" s="29" t="s">
        <v>50</v>
      </c>
      <c r="C21" s="32">
        <v>18</v>
      </c>
      <c r="D21" s="33">
        <v>13.85</v>
      </c>
      <c r="E21" s="23" t="s">
        <v>197</v>
      </c>
      <c r="F21" s="30">
        <v>19</v>
      </c>
      <c r="G21" s="33">
        <v>23.75</v>
      </c>
      <c r="H21" s="25" t="s">
        <v>321</v>
      </c>
      <c r="I21" s="23" t="s">
        <v>327</v>
      </c>
      <c r="J21" s="23" t="s">
        <v>25</v>
      </c>
      <c r="K21" s="23" t="s">
        <v>25</v>
      </c>
    </row>
    <row r="22" spans="1:11">
      <c r="A22" s="29" t="s">
        <v>52</v>
      </c>
      <c r="B22" s="29" t="s">
        <v>52</v>
      </c>
      <c r="C22" s="32">
        <v>15</v>
      </c>
      <c r="D22" s="33">
        <v>11.54</v>
      </c>
      <c r="E22" s="23"/>
      <c r="F22" s="30"/>
      <c r="G22" s="33"/>
      <c r="H22" s="26" t="s">
        <v>323</v>
      </c>
      <c r="I22" s="23" t="s">
        <v>324</v>
      </c>
      <c r="J22" s="23" t="s">
        <v>28</v>
      </c>
      <c r="K22" s="23"/>
    </row>
    <row r="23" spans="1:11">
      <c r="A23" s="29" t="s">
        <v>54</v>
      </c>
      <c r="B23" s="29" t="s">
        <v>54</v>
      </c>
      <c r="C23" s="32">
        <v>15</v>
      </c>
      <c r="D23" s="33">
        <v>11.54</v>
      </c>
      <c r="E23" s="23" t="s">
        <v>199</v>
      </c>
      <c r="F23" s="30">
        <v>18</v>
      </c>
      <c r="G23" s="33">
        <v>22.5</v>
      </c>
      <c r="H23" s="27" t="s">
        <v>325</v>
      </c>
      <c r="I23" s="23" t="s">
        <v>326</v>
      </c>
      <c r="J23" s="23" t="s">
        <v>25</v>
      </c>
      <c r="K23" s="23" t="s">
        <v>25</v>
      </c>
    </row>
    <row r="24" spans="1:11">
      <c r="A24" s="29" t="s">
        <v>56</v>
      </c>
      <c r="B24" s="29" t="s">
        <v>56</v>
      </c>
      <c r="C24" s="32">
        <v>14</v>
      </c>
      <c r="D24" s="33">
        <v>10.77</v>
      </c>
      <c r="E24" s="23" t="s">
        <v>244</v>
      </c>
      <c r="F24" s="30">
        <v>7</v>
      </c>
      <c r="G24" s="33">
        <v>8.75</v>
      </c>
      <c r="H24" s="27" t="s">
        <v>325</v>
      </c>
      <c r="I24" s="23" t="s">
        <v>326</v>
      </c>
      <c r="J24" s="23" t="s">
        <v>38</v>
      </c>
      <c r="K24" s="23" t="s">
        <v>38</v>
      </c>
    </row>
    <row r="25" spans="1:11">
      <c r="A25" s="29" t="s">
        <v>58</v>
      </c>
      <c r="B25" s="29" t="s">
        <v>58</v>
      </c>
      <c r="C25" s="32">
        <v>14</v>
      </c>
      <c r="D25" s="33">
        <v>10.77</v>
      </c>
      <c r="E25" s="23"/>
      <c r="F25" s="30"/>
      <c r="G25" s="33"/>
      <c r="H25" s="26" t="s">
        <v>323</v>
      </c>
      <c r="I25" s="23" t="s">
        <v>324</v>
      </c>
      <c r="J25" s="23" t="s">
        <v>25</v>
      </c>
      <c r="K25" s="23"/>
    </row>
    <row r="26" spans="1:11">
      <c r="A26" s="29" t="s">
        <v>60</v>
      </c>
      <c r="B26" s="29" t="s">
        <v>60</v>
      </c>
      <c r="C26" s="32">
        <v>12</v>
      </c>
      <c r="D26" s="33">
        <v>9.23</v>
      </c>
      <c r="E26" s="23"/>
      <c r="F26" s="30"/>
      <c r="G26" s="33"/>
      <c r="H26" s="26" t="s">
        <v>323</v>
      </c>
      <c r="I26" s="23" t="s">
        <v>324</v>
      </c>
      <c r="J26" s="23" t="s">
        <v>62</v>
      </c>
      <c r="K26" s="23"/>
    </row>
    <row r="27" spans="1:11">
      <c r="A27" s="29" t="s">
        <v>63</v>
      </c>
      <c r="B27" s="29" t="s">
        <v>63</v>
      </c>
      <c r="C27" s="32">
        <v>11</v>
      </c>
      <c r="D27" s="33">
        <v>8.4600000000000009</v>
      </c>
      <c r="E27" s="23"/>
      <c r="F27" s="30"/>
      <c r="G27" s="33"/>
      <c r="H27" s="26" t="s">
        <v>323</v>
      </c>
      <c r="I27" s="23" t="s">
        <v>324</v>
      </c>
      <c r="J27" s="23" t="s">
        <v>28</v>
      </c>
      <c r="K27" s="23"/>
    </row>
    <row r="28" spans="1:11">
      <c r="A28" s="29" t="s">
        <v>65</v>
      </c>
      <c r="B28" s="29" t="s">
        <v>65</v>
      </c>
      <c r="C28" s="32">
        <v>11</v>
      </c>
      <c r="D28" s="33">
        <v>8.4600000000000009</v>
      </c>
      <c r="E28" s="23" t="s">
        <v>263</v>
      </c>
      <c r="F28" s="30">
        <v>4</v>
      </c>
      <c r="G28" s="33">
        <v>5</v>
      </c>
      <c r="H28" s="27" t="s">
        <v>325</v>
      </c>
      <c r="I28" s="23" t="s">
        <v>326</v>
      </c>
      <c r="J28" s="23" t="s">
        <v>67</v>
      </c>
      <c r="K28" s="23" t="s">
        <v>67</v>
      </c>
    </row>
    <row r="29" spans="1:11">
      <c r="A29" s="29" t="s">
        <v>68</v>
      </c>
      <c r="B29" s="29" t="s">
        <v>68</v>
      </c>
      <c r="C29" s="32">
        <v>11</v>
      </c>
      <c r="D29" s="33">
        <v>8.4600000000000009</v>
      </c>
      <c r="E29" s="23" t="s">
        <v>151</v>
      </c>
      <c r="F29" s="30">
        <v>80</v>
      </c>
      <c r="G29" s="33">
        <v>100</v>
      </c>
      <c r="H29" s="27" t="s">
        <v>325</v>
      </c>
      <c r="I29" s="23" t="s">
        <v>326</v>
      </c>
      <c r="J29" s="23" t="s">
        <v>25</v>
      </c>
      <c r="K29" s="23" t="s">
        <v>25</v>
      </c>
    </row>
    <row r="30" spans="1:11" ht="24">
      <c r="A30" s="29" t="s">
        <v>70</v>
      </c>
      <c r="B30" s="31" t="s">
        <v>70</v>
      </c>
      <c r="C30" s="32">
        <v>11</v>
      </c>
      <c r="D30" s="33">
        <v>8.4600000000000009</v>
      </c>
      <c r="E30" s="23"/>
      <c r="F30" s="30"/>
      <c r="G30" s="33"/>
      <c r="H30" s="26" t="s">
        <v>323</v>
      </c>
      <c r="I30" s="23" t="s">
        <v>324</v>
      </c>
      <c r="J30" s="23" t="s">
        <v>28</v>
      </c>
      <c r="K30" s="23"/>
    </row>
    <row r="31" spans="1:11">
      <c r="A31" s="29" t="s">
        <v>72</v>
      </c>
      <c r="B31" s="29" t="s">
        <v>72</v>
      </c>
      <c r="C31" s="32">
        <v>10</v>
      </c>
      <c r="D31" s="33">
        <v>7.69</v>
      </c>
      <c r="E31" s="23" t="s">
        <v>72</v>
      </c>
      <c r="F31" s="30">
        <v>23</v>
      </c>
      <c r="G31" s="33">
        <v>28.75</v>
      </c>
      <c r="H31" s="25" t="s">
        <v>321</v>
      </c>
      <c r="I31" s="23" t="s">
        <v>322</v>
      </c>
      <c r="J31" s="23" t="s">
        <v>9</v>
      </c>
      <c r="K31" s="23" t="s">
        <v>9</v>
      </c>
    </row>
    <row r="32" spans="1:11">
      <c r="A32" s="29" t="s">
        <v>74</v>
      </c>
      <c r="B32" s="29" t="s">
        <v>74</v>
      </c>
      <c r="C32" s="32">
        <v>9</v>
      </c>
      <c r="D32" s="33">
        <v>6.92</v>
      </c>
      <c r="E32" s="23"/>
      <c r="F32" s="30"/>
      <c r="G32" s="33"/>
      <c r="H32" s="26" t="s">
        <v>323</v>
      </c>
      <c r="I32" s="23" t="s">
        <v>324</v>
      </c>
      <c r="J32" s="23" t="s">
        <v>28</v>
      </c>
      <c r="K32" s="23"/>
    </row>
    <row r="33" spans="1:11">
      <c r="A33" s="29" t="s">
        <v>76</v>
      </c>
      <c r="B33" s="29" t="s">
        <v>76</v>
      </c>
      <c r="C33" s="32">
        <v>8</v>
      </c>
      <c r="D33" s="33">
        <v>6.15</v>
      </c>
      <c r="E33" s="23" t="s">
        <v>13</v>
      </c>
      <c r="F33" s="30">
        <v>75</v>
      </c>
      <c r="G33" s="33">
        <v>93.75</v>
      </c>
      <c r="H33" s="27" t="s">
        <v>325</v>
      </c>
      <c r="I33" s="23" t="s">
        <v>326</v>
      </c>
      <c r="J33" s="23" t="s">
        <v>13</v>
      </c>
      <c r="K33" s="23" t="s">
        <v>13</v>
      </c>
    </row>
    <row r="34" spans="1:11" ht="24">
      <c r="A34" s="29" t="s">
        <v>78</v>
      </c>
      <c r="B34" s="29" t="s">
        <v>78</v>
      </c>
      <c r="C34" s="32">
        <v>8</v>
      </c>
      <c r="D34" s="33">
        <v>6.15</v>
      </c>
      <c r="E34" s="23"/>
      <c r="F34" s="30"/>
      <c r="G34" s="33"/>
      <c r="H34" s="26" t="s">
        <v>323</v>
      </c>
      <c r="I34" s="23" t="s">
        <v>324</v>
      </c>
      <c r="J34" s="23" t="s">
        <v>12</v>
      </c>
      <c r="K34" s="23"/>
    </row>
    <row r="35" spans="1:11">
      <c r="A35" s="29" t="s">
        <v>80</v>
      </c>
      <c r="B35" s="29" t="s">
        <v>80</v>
      </c>
      <c r="C35" s="32">
        <v>8</v>
      </c>
      <c r="D35" s="33">
        <v>6.15</v>
      </c>
      <c r="E35" s="23"/>
      <c r="F35" s="30"/>
      <c r="G35" s="33"/>
      <c r="H35" s="26" t="s">
        <v>323</v>
      </c>
      <c r="I35" s="23" t="s">
        <v>324</v>
      </c>
      <c r="J35" s="23" t="s">
        <v>20</v>
      </c>
      <c r="K35" s="23"/>
    </row>
    <row r="36" spans="1:11">
      <c r="A36" s="29" t="s">
        <v>82</v>
      </c>
      <c r="B36" s="29" t="s">
        <v>82</v>
      </c>
      <c r="C36" s="32">
        <v>8</v>
      </c>
      <c r="D36" s="33">
        <v>6.15</v>
      </c>
      <c r="E36" s="23" t="s">
        <v>263</v>
      </c>
      <c r="F36" s="30">
        <v>4</v>
      </c>
      <c r="G36" s="33">
        <v>5</v>
      </c>
      <c r="H36" s="27" t="s">
        <v>325</v>
      </c>
      <c r="I36" s="23" t="s">
        <v>326</v>
      </c>
      <c r="J36" s="23" t="s">
        <v>67</v>
      </c>
      <c r="K36" s="23" t="s">
        <v>67</v>
      </c>
    </row>
    <row r="37" spans="1:11">
      <c r="A37" s="29" t="s">
        <v>84</v>
      </c>
      <c r="B37" s="29" t="s">
        <v>84</v>
      </c>
      <c r="C37" s="32">
        <v>8</v>
      </c>
      <c r="D37" s="33">
        <v>6.15</v>
      </c>
      <c r="E37" s="23" t="s">
        <v>241</v>
      </c>
      <c r="F37" s="30">
        <v>8</v>
      </c>
      <c r="G37" s="33">
        <v>10</v>
      </c>
      <c r="H37" s="25" t="s">
        <v>321</v>
      </c>
      <c r="I37" s="23" t="s">
        <v>322</v>
      </c>
      <c r="J37" s="23" t="s">
        <v>25</v>
      </c>
      <c r="K37" s="23" t="s">
        <v>25</v>
      </c>
    </row>
    <row r="38" spans="1:11">
      <c r="A38" s="29" t="s">
        <v>86</v>
      </c>
      <c r="B38" s="29" t="s">
        <v>86</v>
      </c>
      <c r="C38" s="32">
        <v>7</v>
      </c>
      <c r="D38" s="33">
        <v>5.38</v>
      </c>
      <c r="E38" s="23" t="s">
        <v>167</v>
      </c>
      <c r="F38" s="30">
        <v>46</v>
      </c>
      <c r="G38" s="33">
        <v>57.5</v>
      </c>
      <c r="H38" s="25" t="s">
        <v>321</v>
      </c>
      <c r="I38" s="23" t="s">
        <v>327</v>
      </c>
      <c r="J38" s="23" t="s">
        <v>67</v>
      </c>
      <c r="K38" s="23" t="s">
        <v>67</v>
      </c>
    </row>
    <row r="39" spans="1:11">
      <c r="A39" s="29" t="s">
        <v>88</v>
      </c>
      <c r="B39" s="29" t="s">
        <v>88</v>
      </c>
      <c r="C39" s="32">
        <v>6</v>
      </c>
      <c r="D39" s="33">
        <v>4.62</v>
      </c>
      <c r="E39" s="23"/>
      <c r="F39" s="30"/>
      <c r="G39" s="33"/>
      <c r="H39" s="26" t="s">
        <v>323</v>
      </c>
      <c r="I39" s="23" t="s">
        <v>324</v>
      </c>
      <c r="J39" s="23" t="s">
        <v>25</v>
      </c>
      <c r="K39" s="23"/>
    </row>
    <row r="40" spans="1:11">
      <c r="A40" s="29" t="s">
        <v>90</v>
      </c>
      <c r="B40" s="29" t="s">
        <v>90</v>
      </c>
      <c r="C40" s="32">
        <v>5</v>
      </c>
      <c r="D40" s="33">
        <v>3.85</v>
      </c>
      <c r="E40" s="23"/>
      <c r="F40" s="30"/>
      <c r="G40" s="33"/>
      <c r="H40" s="26" t="s">
        <v>323</v>
      </c>
      <c r="I40" s="23" t="s">
        <v>324</v>
      </c>
      <c r="J40" s="23" t="s">
        <v>67</v>
      </c>
      <c r="K40" s="23"/>
    </row>
    <row r="41" spans="1:11">
      <c r="A41" s="29" t="s">
        <v>92</v>
      </c>
      <c r="B41" s="29" t="s">
        <v>92</v>
      </c>
      <c r="C41" s="32">
        <v>5</v>
      </c>
      <c r="D41" s="33">
        <v>3.85</v>
      </c>
      <c r="E41" s="23"/>
      <c r="F41" s="30"/>
      <c r="G41" s="33"/>
      <c r="H41" s="26" t="s">
        <v>323</v>
      </c>
      <c r="I41" s="23" t="s">
        <v>324</v>
      </c>
      <c r="J41" s="23" t="s">
        <v>62</v>
      </c>
      <c r="K41" s="23"/>
    </row>
    <row r="42" spans="1:11">
      <c r="A42" s="29" t="s">
        <v>94</v>
      </c>
      <c r="B42" s="29" t="s">
        <v>94</v>
      </c>
      <c r="C42" s="32">
        <v>4</v>
      </c>
      <c r="D42" s="33">
        <v>3.08</v>
      </c>
      <c r="E42" s="23" t="s">
        <v>94</v>
      </c>
      <c r="F42" s="30">
        <v>61</v>
      </c>
      <c r="G42" s="33">
        <v>76.25</v>
      </c>
      <c r="H42" s="25" t="s">
        <v>321</v>
      </c>
      <c r="I42" s="23" t="s">
        <v>322</v>
      </c>
      <c r="J42" s="23" t="s">
        <v>94</v>
      </c>
      <c r="K42" s="23" t="s">
        <v>94</v>
      </c>
    </row>
    <row r="43" spans="1:11">
      <c r="A43" s="29" t="s">
        <v>96</v>
      </c>
      <c r="B43" s="29" t="s">
        <v>96</v>
      </c>
      <c r="C43" s="32">
        <v>4</v>
      </c>
      <c r="D43" s="33">
        <v>3.08</v>
      </c>
      <c r="E43" s="23"/>
      <c r="F43" s="30"/>
      <c r="G43" s="33"/>
      <c r="H43" s="26" t="s">
        <v>323</v>
      </c>
      <c r="I43" s="23" t="s">
        <v>324</v>
      </c>
      <c r="J43" s="23" t="s">
        <v>20</v>
      </c>
      <c r="K43" s="23"/>
    </row>
    <row r="44" spans="1:11" ht="24">
      <c r="A44" s="29" t="s">
        <v>98</v>
      </c>
      <c r="B44" s="29" t="s">
        <v>98</v>
      </c>
      <c r="C44" s="32">
        <v>4</v>
      </c>
      <c r="D44" s="33">
        <v>3.08</v>
      </c>
      <c r="E44" s="23"/>
      <c r="F44" s="30"/>
      <c r="G44" s="33"/>
      <c r="H44" s="26" t="s">
        <v>323</v>
      </c>
      <c r="I44" s="23" t="s">
        <v>324</v>
      </c>
      <c r="J44" s="23" t="s">
        <v>100</v>
      </c>
      <c r="K44" s="23"/>
    </row>
    <row r="45" spans="1:11">
      <c r="A45" s="29" t="s">
        <v>101</v>
      </c>
      <c r="B45" s="29" t="s">
        <v>101</v>
      </c>
      <c r="C45" s="32">
        <v>4</v>
      </c>
      <c r="D45" s="33">
        <v>3.08</v>
      </c>
      <c r="E45" s="23" t="s">
        <v>197</v>
      </c>
      <c r="F45" s="30">
        <v>19</v>
      </c>
      <c r="G45" s="33">
        <v>23.75</v>
      </c>
      <c r="H45" s="27" t="s">
        <v>325</v>
      </c>
      <c r="I45" s="23" t="s">
        <v>326</v>
      </c>
      <c r="J45" s="23" t="s">
        <v>25</v>
      </c>
      <c r="K45" s="23" t="s">
        <v>25</v>
      </c>
    </row>
    <row r="46" spans="1:11">
      <c r="A46" s="29" t="s">
        <v>103</v>
      </c>
      <c r="B46" s="29" t="s">
        <v>103</v>
      </c>
      <c r="C46" s="32">
        <v>4</v>
      </c>
      <c r="D46" s="33">
        <v>3.08</v>
      </c>
      <c r="E46" s="23"/>
      <c r="F46" s="30"/>
      <c r="G46" s="33"/>
      <c r="H46" s="26" t="s">
        <v>323</v>
      </c>
      <c r="I46" s="23" t="s">
        <v>324</v>
      </c>
      <c r="J46" s="23" t="s">
        <v>28</v>
      </c>
      <c r="K46" s="23"/>
    </row>
    <row r="47" spans="1:11">
      <c r="A47" s="29" t="s">
        <v>105</v>
      </c>
      <c r="B47" s="29" t="s">
        <v>105</v>
      </c>
      <c r="C47" s="32">
        <v>4</v>
      </c>
      <c r="D47" s="33">
        <v>3.08</v>
      </c>
      <c r="E47" s="23"/>
      <c r="F47" s="30"/>
      <c r="G47" s="33"/>
      <c r="H47" s="26" t="s">
        <v>323</v>
      </c>
      <c r="I47" s="23" t="s">
        <v>324</v>
      </c>
      <c r="J47" s="23" t="s">
        <v>20</v>
      </c>
      <c r="K47" s="23"/>
    </row>
    <row r="48" spans="1:11">
      <c r="A48" s="29" t="s">
        <v>106</v>
      </c>
      <c r="B48" s="29" t="s">
        <v>106</v>
      </c>
      <c r="C48" s="32">
        <v>4</v>
      </c>
      <c r="D48" s="33">
        <v>3.08</v>
      </c>
      <c r="E48" s="23" t="s">
        <v>13</v>
      </c>
      <c r="F48" s="30">
        <v>75</v>
      </c>
      <c r="G48" s="33">
        <v>93.75</v>
      </c>
      <c r="H48" s="27" t="s">
        <v>325</v>
      </c>
      <c r="I48" s="23" t="s">
        <v>326</v>
      </c>
      <c r="J48" s="23" t="s">
        <v>13</v>
      </c>
      <c r="K48" s="23" t="s">
        <v>13</v>
      </c>
    </row>
    <row r="49" spans="1:11">
      <c r="A49" s="29" t="s">
        <v>107</v>
      </c>
      <c r="B49" s="29" t="s">
        <v>107</v>
      </c>
      <c r="C49" s="32">
        <v>4</v>
      </c>
      <c r="D49" s="33">
        <v>3.08</v>
      </c>
      <c r="E49" s="23"/>
      <c r="F49" s="30"/>
      <c r="G49" s="33"/>
      <c r="H49" s="26" t="s">
        <v>323</v>
      </c>
      <c r="I49" s="23" t="s">
        <v>324</v>
      </c>
      <c r="J49" s="23" t="s">
        <v>28</v>
      </c>
      <c r="K49" s="23"/>
    </row>
    <row r="50" spans="1:11">
      <c r="A50" s="29" t="s">
        <v>109</v>
      </c>
      <c r="B50" s="29" t="s">
        <v>109</v>
      </c>
      <c r="C50" s="32">
        <v>4</v>
      </c>
      <c r="D50" s="33">
        <v>3.08</v>
      </c>
      <c r="E50" s="23" t="s">
        <v>175</v>
      </c>
      <c r="F50" s="30">
        <v>37</v>
      </c>
      <c r="G50" s="33">
        <v>46.25</v>
      </c>
      <c r="H50" s="27" t="s">
        <v>325</v>
      </c>
      <c r="I50" s="23" t="s">
        <v>326</v>
      </c>
      <c r="J50" s="23" t="s">
        <v>13</v>
      </c>
      <c r="K50" s="23" t="s">
        <v>25</v>
      </c>
    </row>
    <row r="51" spans="1:11">
      <c r="A51" s="29" t="s">
        <v>110</v>
      </c>
      <c r="B51" s="29" t="s">
        <v>110</v>
      </c>
      <c r="C51" s="32">
        <v>4</v>
      </c>
      <c r="D51" s="33">
        <v>3.08</v>
      </c>
      <c r="E51" s="23" t="s">
        <v>151</v>
      </c>
      <c r="F51" s="30">
        <v>80</v>
      </c>
      <c r="G51" s="33">
        <v>100</v>
      </c>
      <c r="H51" s="27" t="s">
        <v>325</v>
      </c>
      <c r="I51" s="23" t="s">
        <v>326</v>
      </c>
      <c r="J51" s="23" t="s">
        <v>25</v>
      </c>
      <c r="K51" s="23" t="s">
        <v>25</v>
      </c>
    </row>
    <row r="52" spans="1:11">
      <c r="A52" s="29" t="s">
        <v>112</v>
      </c>
      <c r="B52" s="29" t="s">
        <v>112</v>
      </c>
      <c r="C52" s="32">
        <v>4</v>
      </c>
      <c r="D52" s="33">
        <v>3.08</v>
      </c>
      <c r="E52" s="23" t="s">
        <v>181</v>
      </c>
      <c r="F52" s="30">
        <v>27</v>
      </c>
      <c r="G52" s="33">
        <v>33.75</v>
      </c>
      <c r="H52" s="27" t="s">
        <v>325</v>
      </c>
      <c r="I52" s="23" t="s">
        <v>326</v>
      </c>
      <c r="J52" s="23" t="s">
        <v>13</v>
      </c>
      <c r="K52" s="23" t="s">
        <v>13</v>
      </c>
    </row>
    <row r="53" spans="1:11">
      <c r="A53" s="29" t="s">
        <v>113</v>
      </c>
      <c r="B53" s="29" t="s">
        <v>113</v>
      </c>
      <c r="C53" s="32">
        <v>4</v>
      </c>
      <c r="D53" s="33">
        <v>3.08</v>
      </c>
      <c r="E53" s="23" t="s">
        <v>113</v>
      </c>
      <c r="F53" s="30">
        <v>4</v>
      </c>
      <c r="G53" s="33">
        <v>5</v>
      </c>
      <c r="H53" s="25" t="s">
        <v>321</v>
      </c>
      <c r="I53" s="23" t="s">
        <v>322</v>
      </c>
      <c r="J53" s="23" t="s">
        <v>38</v>
      </c>
      <c r="K53" s="23" t="s">
        <v>38</v>
      </c>
    </row>
    <row r="54" spans="1:11" ht="24">
      <c r="A54" s="29" t="s">
        <v>114</v>
      </c>
      <c r="B54" s="29" t="s">
        <v>114</v>
      </c>
      <c r="C54" s="32">
        <v>3</v>
      </c>
      <c r="D54" s="33">
        <v>2.31</v>
      </c>
      <c r="E54" s="23"/>
      <c r="F54" s="30"/>
      <c r="G54" s="33"/>
      <c r="H54" s="26" t="s">
        <v>323</v>
      </c>
      <c r="I54" s="23" t="s">
        <v>324</v>
      </c>
      <c r="J54" s="23" t="s">
        <v>28</v>
      </c>
      <c r="K54" s="23"/>
    </row>
    <row r="55" spans="1:11">
      <c r="A55" s="29" t="s">
        <v>115</v>
      </c>
      <c r="B55" s="29" t="s">
        <v>115</v>
      </c>
      <c r="C55" s="32">
        <v>3</v>
      </c>
      <c r="D55" s="33">
        <v>2.31</v>
      </c>
      <c r="E55" s="23"/>
      <c r="F55" s="30"/>
      <c r="G55" s="33"/>
      <c r="H55" s="26" t="s">
        <v>323</v>
      </c>
      <c r="I55" s="23" t="s">
        <v>324</v>
      </c>
      <c r="J55" s="23" t="s">
        <v>28</v>
      </c>
      <c r="K55" s="23"/>
    </row>
    <row r="56" spans="1:11">
      <c r="A56" s="29" t="s">
        <v>116</v>
      </c>
      <c r="B56" s="29" t="s">
        <v>116</v>
      </c>
      <c r="C56" s="32">
        <v>3</v>
      </c>
      <c r="D56" s="33">
        <v>2.31</v>
      </c>
      <c r="E56" s="23" t="s">
        <v>195</v>
      </c>
      <c r="F56" s="30">
        <v>22</v>
      </c>
      <c r="G56" s="33">
        <v>27.5</v>
      </c>
      <c r="H56" s="27" t="s">
        <v>325</v>
      </c>
      <c r="I56" s="23" t="s">
        <v>326</v>
      </c>
      <c r="J56" s="23" t="s">
        <v>100</v>
      </c>
      <c r="K56" s="23" t="s">
        <v>13</v>
      </c>
    </row>
    <row r="57" spans="1:11">
      <c r="A57" s="29" t="s">
        <v>118</v>
      </c>
      <c r="B57" s="29" t="s">
        <v>118</v>
      </c>
      <c r="C57" s="32">
        <v>3</v>
      </c>
      <c r="D57" s="33">
        <v>2.31</v>
      </c>
      <c r="E57" s="23"/>
      <c r="F57" s="30"/>
      <c r="G57" s="33"/>
      <c r="H57" s="26" t="s">
        <v>323</v>
      </c>
      <c r="I57" s="23" t="s">
        <v>324</v>
      </c>
      <c r="J57" s="23" t="s">
        <v>100</v>
      </c>
      <c r="K57" s="23"/>
    </row>
    <row r="58" spans="1:11">
      <c r="A58" s="29" t="s">
        <v>119</v>
      </c>
      <c r="B58" s="29" t="s">
        <v>119</v>
      </c>
      <c r="C58" s="32">
        <v>3</v>
      </c>
      <c r="D58" s="33">
        <v>2.31</v>
      </c>
      <c r="E58" s="23" t="s">
        <v>230</v>
      </c>
      <c r="F58" s="30">
        <v>10</v>
      </c>
      <c r="G58" s="33">
        <v>12.5</v>
      </c>
      <c r="H58" s="25" t="s">
        <v>321</v>
      </c>
      <c r="I58" s="23" t="s">
        <v>327</v>
      </c>
      <c r="J58" s="23" t="s">
        <v>17</v>
      </c>
      <c r="K58" s="23" t="s">
        <v>17</v>
      </c>
    </row>
    <row r="59" spans="1:11">
      <c r="A59" s="29" t="s">
        <v>120</v>
      </c>
      <c r="B59" s="29" t="s">
        <v>120</v>
      </c>
      <c r="C59" s="32">
        <v>3</v>
      </c>
      <c r="D59" s="33">
        <v>2.31</v>
      </c>
      <c r="E59" s="23"/>
      <c r="F59" s="30"/>
      <c r="G59" s="33"/>
      <c r="H59" s="26" t="s">
        <v>323</v>
      </c>
      <c r="I59" s="23" t="s">
        <v>324</v>
      </c>
      <c r="J59" s="23" t="s">
        <v>62</v>
      </c>
      <c r="K59" s="23"/>
    </row>
    <row r="60" spans="1:11">
      <c r="A60" s="29" t="s">
        <v>122</v>
      </c>
      <c r="B60" s="29" t="s">
        <v>122</v>
      </c>
      <c r="C60" s="32">
        <v>3</v>
      </c>
      <c r="D60" s="33">
        <v>2.31</v>
      </c>
      <c r="E60" s="23" t="s">
        <v>258</v>
      </c>
      <c r="F60" s="30">
        <v>5</v>
      </c>
      <c r="G60" s="33">
        <v>6.25</v>
      </c>
      <c r="H60" s="27" t="s">
        <v>325</v>
      </c>
      <c r="I60" s="23" t="s">
        <v>326</v>
      </c>
      <c r="J60" s="23" t="s">
        <v>62</v>
      </c>
      <c r="K60" s="23" t="s">
        <v>62</v>
      </c>
    </row>
    <row r="61" spans="1:11">
      <c r="A61" s="29" t="s">
        <v>123</v>
      </c>
      <c r="B61" s="29" t="s">
        <v>123</v>
      </c>
      <c r="C61" s="32">
        <v>3</v>
      </c>
      <c r="D61" s="33">
        <v>2.31</v>
      </c>
      <c r="E61" s="23"/>
      <c r="F61" s="30"/>
      <c r="G61" s="33"/>
      <c r="H61" s="26" t="s">
        <v>323</v>
      </c>
      <c r="I61" s="23" t="s">
        <v>324</v>
      </c>
      <c r="J61" s="23" t="s">
        <v>13</v>
      </c>
      <c r="K61" s="23"/>
    </row>
    <row r="62" spans="1:11">
      <c r="A62" s="29" t="s">
        <v>124</v>
      </c>
      <c r="B62" s="29" t="s">
        <v>124</v>
      </c>
      <c r="C62" s="32">
        <v>3</v>
      </c>
      <c r="D62" s="33">
        <v>2.31</v>
      </c>
      <c r="E62" s="23" t="s">
        <v>163</v>
      </c>
      <c r="F62" s="30">
        <v>49</v>
      </c>
      <c r="G62" s="33">
        <v>61.25</v>
      </c>
      <c r="H62" s="25" t="s">
        <v>321</v>
      </c>
      <c r="I62" s="23" t="s">
        <v>327</v>
      </c>
      <c r="J62" s="23" t="s">
        <v>17</v>
      </c>
      <c r="K62" s="23" t="s">
        <v>17</v>
      </c>
    </row>
    <row r="63" spans="1:11">
      <c r="A63" s="29" t="s">
        <v>125</v>
      </c>
      <c r="B63" s="29" t="s">
        <v>125</v>
      </c>
      <c r="C63" s="32">
        <v>2</v>
      </c>
      <c r="D63" s="33">
        <v>1.54</v>
      </c>
      <c r="E63" s="23" t="s">
        <v>153</v>
      </c>
      <c r="F63" s="30">
        <v>72</v>
      </c>
      <c r="G63" s="33">
        <v>90</v>
      </c>
      <c r="H63" s="25" t="s">
        <v>321</v>
      </c>
      <c r="I63" s="23" t="s">
        <v>327</v>
      </c>
      <c r="J63" s="23" t="s">
        <v>62</v>
      </c>
      <c r="K63" s="23" t="s">
        <v>62</v>
      </c>
    </row>
    <row r="64" spans="1:11">
      <c r="A64" s="29" t="s">
        <v>126</v>
      </c>
      <c r="B64" s="29" t="s">
        <v>126</v>
      </c>
      <c r="C64" s="32">
        <v>2</v>
      </c>
      <c r="D64" s="33">
        <v>1.54</v>
      </c>
      <c r="E64" s="23"/>
      <c r="F64" s="30"/>
      <c r="G64" s="33"/>
      <c r="H64" s="26" t="s">
        <v>323</v>
      </c>
      <c r="I64" s="23" t="s">
        <v>324</v>
      </c>
      <c r="J64" s="23" t="s">
        <v>20</v>
      </c>
      <c r="K64" s="23"/>
    </row>
    <row r="65" spans="1:11">
      <c r="A65" s="29" t="s">
        <v>127</v>
      </c>
      <c r="B65" s="29" t="s">
        <v>127</v>
      </c>
      <c r="C65" s="32">
        <v>2</v>
      </c>
      <c r="D65" s="33">
        <v>1.54</v>
      </c>
      <c r="E65" s="23" t="s">
        <v>250</v>
      </c>
      <c r="F65" s="30">
        <v>5</v>
      </c>
      <c r="G65" s="33">
        <v>6.25</v>
      </c>
      <c r="H65" s="25" t="s">
        <v>321</v>
      </c>
      <c r="I65" s="23" t="s">
        <v>327</v>
      </c>
      <c r="J65" s="23" t="s">
        <v>25</v>
      </c>
      <c r="K65" s="23" t="s">
        <v>13</v>
      </c>
    </row>
    <row r="66" spans="1:11">
      <c r="A66" s="29" t="s">
        <v>128</v>
      </c>
      <c r="B66" s="29" t="s">
        <v>128</v>
      </c>
      <c r="C66" s="32">
        <v>2</v>
      </c>
      <c r="D66" s="33">
        <v>1.54</v>
      </c>
      <c r="E66" s="23" t="s">
        <v>273</v>
      </c>
      <c r="F66" s="30">
        <v>3</v>
      </c>
      <c r="G66" s="33">
        <v>3.75</v>
      </c>
      <c r="H66" s="25" t="s">
        <v>321</v>
      </c>
      <c r="I66" s="23" t="s">
        <v>327</v>
      </c>
      <c r="J66" s="23" t="s">
        <v>9</v>
      </c>
      <c r="K66" s="23" t="s">
        <v>9</v>
      </c>
    </row>
    <row r="67" spans="1:11">
      <c r="A67" s="29" t="s">
        <v>130</v>
      </c>
      <c r="B67" s="29" t="s">
        <v>130</v>
      </c>
      <c r="C67" s="32">
        <v>2</v>
      </c>
      <c r="D67" s="33">
        <v>1.54</v>
      </c>
      <c r="E67" s="23"/>
      <c r="F67" s="30"/>
      <c r="G67" s="33"/>
      <c r="H67" s="26" t="s">
        <v>323</v>
      </c>
      <c r="I67" s="23" t="s">
        <v>324</v>
      </c>
      <c r="J67" s="23" t="s">
        <v>20</v>
      </c>
      <c r="K67" s="23"/>
    </row>
    <row r="68" spans="1:11">
      <c r="A68" s="29" t="s">
        <v>131</v>
      </c>
      <c r="B68" s="29" t="s">
        <v>131</v>
      </c>
      <c r="C68" s="32">
        <v>2</v>
      </c>
      <c r="D68" s="33">
        <v>1.54</v>
      </c>
      <c r="E68" s="23" t="s">
        <v>151</v>
      </c>
      <c r="F68" s="30">
        <v>80</v>
      </c>
      <c r="G68" s="33">
        <v>100</v>
      </c>
      <c r="H68" s="27" t="s">
        <v>325</v>
      </c>
      <c r="I68" s="23" t="s">
        <v>326</v>
      </c>
      <c r="J68" s="23" t="s">
        <v>25</v>
      </c>
      <c r="K68" s="23" t="s">
        <v>25</v>
      </c>
    </row>
    <row r="69" spans="1:11" ht="24">
      <c r="A69" s="29" t="s">
        <v>132</v>
      </c>
      <c r="B69" s="29" t="s">
        <v>132</v>
      </c>
      <c r="C69" s="32">
        <v>2</v>
      </c>
      <c r="D69" s="33">
        <v>1.54</v>
      </c>
      <c r="E69" s="23" t="s">
        <v>207</v>
      </c>
      <c r="F69" s="30">
        <v>14</v>
      </c>
      <c r="G69" s="33">
        <v>17.5</v>
      </c>
      <c r="H69" s="25" t="s">
        <v>321</v>
      </c>
      <c r="I69" s="23" t="s">
        <v>327</v>
      </c>
      <c r="J69" s="23" t="s">
        <v>67</v>
      </c>
      <c r="K69" s="23" t="s">
        <v>67</v>
      </c>
    </row>
    <row r="70" spans="1:11">
      <c r="A70" s="29" t="s">
        <v>133</v>
      </c>
      <c r="B70" s="29" t="s">
        <v>133</v>
      </c>
      <c r="C70" s="32">
        <v>2</v>
      </c>
      <c r="D70" s="33">
        <v>1.54</v>
      </c>
      <c r="E70" s="23" t="s">
        <v>133</v>
      </c>
      <c r="F70" s="30">
        <v>25</v>
      </c>
      <c r="G70" s="33">
        <v>31.25</v>
      </c>
      <c r="H70" s="25" t="s">
        <v>321</v>
      </c>
      <c r="I70" s="23" t="s">
        <v>322</v>
      </c>
      <c r="J70" s="23" t="s">
        <v>133</v>
      </c>
      <c r="K70" s="23" t="s">
        <v>133</v>
      </c>
    </row>
    <row r="71" spans="1:11">
      <c r="A71" s="29" t="s">
        <v>134</v>
      </c>
      <c r="B71" s="29" t="s">
        <v>134</v>
      </c>
      <c r="C71" s="32">
        <v>2</v>
      </c>
      <c r="D71" s="33">
        <v>1.54</v>
      </c>
      <c r="E71" s="23" t="s">
        <v>275</v>
      </c>
      <c r="F71" s="30">
        <v>3</v>
      </c>
      <c r="G71" s="33">
        <v>3.75</v>
      </c>
      <c r="H71" s="25" t="s">
        <v>321</v>
      </c>
      <c r="I71" s="23" t="s">
        <v>327</v>
      </c>
      <c r="J71" s="23" t="s">
        <v>133</v>
      </c>
      <c r="K71" s="23" t="s">
        <v>133</v>
      </c>
    </row>
    <row r="72" spans="1:11">
      <c r="A72" s="29" t="s">
        <v>136</v>
      </c>
      <c r="B72" s="29" t="s">
        <v>136</v>
      </c>
      <c r="C72" s="32">
        <v>2</v>
      </c>
      <c r="D72" s="33">
        <v>1.54</v>
      </c>
      <c r="E72" s="23" t="s">
        <v>136</v>
      </c>
      <c r="F72" s="30">
        <v>61</v>
      </c>
      <c r="G72" s="33">
        <v>76.25</v>
      </c>
      <c r="H72" s="25" t="s">
        <v>321</v>
      </c>
      <c r="I72" s="23" t="s">
        <v>322</v>
      </c>
      <c r="J72" s="23" t="s">
        <v>25</v>
      </c>
      <c r="K72" s="23" t="s">
        <v>25</v>
      </c>
    </row>
    <row r="73" spans="1:11">
      <c r="A73" s="29" t="s">
        <v>138</v>
      </c>
      <c r="B73" s="29" t="s">
        <v>138</v>
      </c>
      <c r="C73" s="32">
        <v>2</v>
      </c>
      <c r="D73" s="33">
        <v>1.54</v>
      </c>
      <c r="E73" s="23"/>
      <c r="F73" s="30"/>
      <c r="G73" s="33"/>
      <c r="H73" s="26" t="s">
        <v>323</v>
      </c>
      <c r="I73" s="23" t="s">
        <v>324</v>
      </c>
      <c r="J73" s="23" t="s">
        <v>25</v>
      </c>
      <c r="K73" s="23"/>
    </row>
    <row r="74" spans="1:11">
      <c r="A74" s="29" t="s">
        <v>139</v>
      </c>
      <c r="B74" s="29" t="s">
        <v>139</v>
      </c>
      <c r="C74" s="32">
        <v>2</v>
      </c>
      <c r="D74" s="33">
        <v>1.54</v>
      </c>
      <c r="E74" s="23"/>
      <c r="F74" s="30"/>
      <c r="G74" s="33"/>
      <c r="H74" s="26" t="s">
        <v>323</v>
      </c>
      <c r="I74" s="23" t="s">
        <v>324</v>
      </c>
      <c r="J74" s="23" t="s">
        <v>13</v>
      </c>
      <c r="K74" s="23"/>
    </row>
    <row r="75" spans="1:11">
      <c r="A75" s="29" t="s">
        <v>141</v>
      </c>
      <c r="B75" s="29" t="s">
        <v>141</v>
      </c>
      <c r="C75" s="32">
        <v>2</v>
      </c>
      <c r="D75" s="33">
        <v>1.54</v>
      </c>
      <c r="E75" s="23"/>
      <c r="F75" s="30"/>
      <c r="G75" s="33"/>
      <c r="H75" s="26" t="s">
        <v>323</v>
      </c>
      <c r="I75" s="23" t="s">
        <v>324</v>
      </c>
      <c r="J75" s="23" t="s">
        <v>28</v>
      </c>
      <c r="K75" s="23"/>
    </row>
    <row r="76" spans="1:11">
      <c r="A76" s="29" t="s">
        <v>142</v>
      </c>
      <c r="B76" s="29" t="s">
        <v>142</v>
      </c>
      <c r="C76" s="32">
        <v>2</v>
      </c>
      <c r="D76" s="33">
        <v>1.54</v>
      </c>
      <c r="E76" s="23" t="s">
        <v>167</v>
      </c>
      <c r="F76" s="30">
        <v>46</v>
      </c>
      <c r="G76" s="33">
        <v>57.5</v>
      </c>
      <c r="H76" s="25" t="s">
        <v>321</v>
      </c>
      <c r="I76" s="23" t="s">
        <v>327</v>
      </c>
      <c r="J76" s="23" t="s">
        <v>67</v>
      </c>
      <c r="K76" s="23" t="s">
        <v>67</v>
      </c>
    </row>
    <row r="77" spans="1:11">
      <c r="A77" s="29" t="s">
        <v>143</v>
      </c>
      <c r="B77" s="29" t="s">
        <v>143</v>
      </c>
      <c r="C77" s="32">
        <v>2</v>
      </c>
      <c r="D77" s="33">
        <v>1.54</v>
      </c>
      <c r="E77" s="23" t="s">
        <v>217</v>
      </c>
      <c r="F77" s="30">
        <v>13</v>
      </c>
      <c r="G77" s="33">
        <v>16.25</v>
      </c>
      <c r="H77" s="27" t="s">
        <v>325</v>
      </c>
      <c r="I77" s="23" t="s">
        <v>326</v>
      </c>
      <c r="J77" s="23" t="s">
        <v>13</v>
      </c>
      <c r="K77" s="23" t="s">
        <v>25</v>
      </c>
    </row>
    <row r="78" spans="1:11">
      <c r="A78" s="29" t="s">
        <v>144</v>
      </c>
      <c r="B78" s="29" t="s">
        <v>144</v>
      </c>
      <c r="C78" s="32">
        <v>2</v>
      </c>
      <c r="D78" s="33">
        <v>1.54</v>
      </c>
      <c r="E78" s="23" t="s">
        <v>161</v>
      </c>
      <c r="F78" s="30">
        <v>56</v>
      </c>
      <c r="G78" s="33">
        <v>70</v>
      </c>
      <c r="H78" s="27" t="s">
        <v>325</v>
      </c>
      <c r="I78" s="23" t="s">
        <v>326</v>
      </c>
      <c r="J78" s="23" t="s">
        <v>25</v>
      </c>
      <c r="K78" s="23" t="s">
        <v>25</v>
      </c>
    </row>
    <row r="79" spans="1:11">
      <c r="A79" s="29" t="s">
        <v>145</v>
      </c>
      <c r="B79" s="29" t="s">
        <v>145</v>
      </c>
      <c r="C79" s="32">
        <v>2</v>
      </c>
      <c r="D79" s="33">
        <v>1.54</v>
      </c>
      <c r="E79" s="23"/>
      <c r="F79" s="30"/>
      <c r="G79" s="33"/>
      <c r="H79" s="26" t="s">
        <v>323</v>
      </c>
      <c r="I79" s="23" t="s">
        <v>324</v>
      </c>
      <c r="J79" s="23" t="s">
        <v>12</v>
      </c>
      <c r="K79" s="23"/>
    </row>
    <row r="80" spans="1:11">
      <c r="A80" s="29" t="s">
        <v>146</v>
      </c>
      <c r="B80" s="29" t="s">
        <v>146</v>
      </c>
      <c r="C80" s="32">
        <v>1</v>
      </c>
      <c r="D80" s="33">
        <v>0.77</v>
      </c>
      <c r="E80" s="23" t="s">
        <v>234</v>
      </c>
      <c r="F80" s="30">
        <v>9</v>
      </c>
      <c r="G80" s="33">
        <v>11.25</v>
      </c>
      <c r="H80" s="27" t="s">
        <v>325</v>
      </c>
      <c r="I80" s="23" t="s">
        <v>326</v>
      </c>
      <c r="J80" s="23" t="s">
        <v>94</v>
      </c>
      <c r="K80" s="23" t="s">
        <v>12</v>
      </c>
    </row>
    <row r="81" spans="1:11">
      <c r="A81" s="29" t="s">
        <v>147</v>
      </c>
      <c r="B81" s="29" t="s">
        <v>147</v>
      </c>
      <c r="C81" s="32">
        <v>1</v>
      </c>
      <c r="D81" s="33">
        <v>0.77</v>
      </c>
      <c r="E81" s="23"/>
      <c r="F81" s="30"/>
      <c r="G81" s="33"/>
      <c r="H81" s="26" t="s">
        <v>323</v>
      </c>
      <c r="I81" s="23" t="s">
        <v>324</v>
      </c>
      <c r="J81" s="23" t="s">
        <v>100</v>
      </c>
      <c r="K81" s="23"/>
    </row>
    <row r="82" spans="1:11">
      <c r="A82" s="29" t="s">
        <v>148</v>
      </c>
      <c r="B82" s="29" t="s">
        <v>148</v>
      </c>
      <c r="C82" s="32">
        <v>1</v>
      </c>
      <c r="D82" s="33">
        <v>0.77</v>
      </c>
      <c r="E82" s="23"/>
      <c r="F82" s="30"/>
      <c r="G82" s="33"/>
      <c r="H82" s="26" t="s">
        <v>323</v>
      </c>
      <c r="I82" s="23" t="s">
        <v>324</v>
      </c>
      <c r="J82" s="23" t="s">
        <v>62</v>
      </c>
      <c r="K82" s="23"/>
    </row>
    <row r="83" spans="1:11">
      <c r="A83" s="29" t="s">
        <v>157</v>
      </c>
      <c r="B83" s="29"/>
      <c r="C83" s="23"/>
      <c r="D83" s="24"/>
      <c r="E83" s="23" t="s">
        <v>157</v>
      </c>
      <c r="F83" s="30">
        <v>61</v>
      </c>
      <c r="G83" s="33">
        <v>76.25</v>
      </c>
      <c r="H83" s="28" t="s">
        <v>328</v>
      </c>
      <c r="I83" s="23" t="s">
        <v>324</v>
      </c>
      <c r="J83" s="23"/>
      <c r="K83" s="23" t="s">
        <v>25</v>
      </c>
    </row>
    <row r="84" spans="1:11">
      <c r="A84" s="29" t="s">
        <v>165</v>
      </c>
      <c r="B84" s="29"/>
      <c r="C84" s="23"/>
      <c r="D84" s="24"/>
      <c r="E84" s="23" t="s">
        <v>165</v>
      </c>
      <c r="F84" s="30">
        <v>46</v>
      </c>
      <c r="G84" s="33">
        <v>57.5</v>
      </c>
      <c r="H84" s="28" t="s">
        <v>328</v>
      </c>
      <c r="I84" s="23" t="s">
        <v>324</v>
      </c>
      <c r="J84" s="23"/>
      <c r="K84" s="23" t="s">
        <v>20</v>
      </c>
    </row>
    <row r="85" spans="1:11">
      <c r="A85" s="29" t="s">
        <v>169</v>
      </c>
      <c r="B85" s="29"/>
      <c r="C85" s="23"/>
      <c r="D85" s="24"/>
      <c r="E85" s="23" t="s">
        <v>169</v>
      </c>
      <c r="F85" s="30">
        <v>43</v>
      </c>
      <c r="G85" s="33">
        <v>53.75</v>
      </c>
      <c r="H85" s="28" t="s">
        <v>328</v>
      </c>
      <c r="I85" s="23" t="s">
        <v>324</v>
      </c>
      <c r="J85" s="23"/>
      <c r="K85" s="23" t="s">
        <v>62</v>
      </c>
    </row>
    <row r="86" spans="1:11">
      <c r="A86" s="29" t="s">
        <v>171</v>
      </c>
      <c r="B86" s="29"/>
      <c r="C86" s="23"/>
      <c r="D86" s="24"/>
      <c r="E86" s="23" t="s">
        <v>171</v>
      </c>
      <c r="F86" s="30">
        <v>38</v>
      </c>
      <c r="G86" s="33">
        <v>47.5</v>
      </c>
      <c r="H86" s="28" t="s">
        <v>328</v>
      </c>
      <c r="I86" s="23" t="s">
        <v>324</v>
      </c>
      <c r="J86" s="23"/>
      <c r="K86" s="23" t="s">
        <v>62</v>
      </c>
    </row>
    <row r="87" spans="1:11">
      <c r="A87" s="29" t="s">
        <v>173</v>
      </c>
      <c r="B87" s="29"/>
      <c r="C87" s="23"/>
      <c r="D87" s="24"/>
      <c r="E87" s="23" t="s">
        <v>173</v>
      </c>
      <c r="F87" s="30">
        <v>37</v>
      </c>
      <c r="G87" s="33">
        <v>46.25</v>
      </c>
      <c r="H87" s="28" t="s">
        <v>328</v>
      </c>
      <c r="I87" s="23" t="s">
        <v>324</v>
      </c>
      <c r="J87" s="23"/>
      <c r="K87" s="23" t="s">
        <v>25</v>
      </c>
    </row>
    <row r="88" spans="1:11">
      <c r="A88" s="29" t="s">
        <v>179</v>
      </c>
      <c r="B88" s="29"/>
      <c r="C88" s="23"/>
      <c r="D88" s="24"/>
      <c r="E88" s="23" t="s">
        <v>179</v>
      </c>
      <c r="F88" s="30">
        <v>28</v>
      </c>
      <c r="G88" s="33">
        <v>35</v>
      </c>
      <c r="H88" s="28" t="s">
        <v>328</v>
      </c>
      <c r="I88" s="23" t="s">
        <v>324</v>
      </c>
      <c r="J88" s="23"/>
      <c r="K88" s="23" t="s">
        <v>100</v>
      </c>
    </row>
    <row r="89" spans="1:11">
      <c r="A89" s="29" t="s">
        <v>184</v>
      </c>
      <c r="B89" s="29"/>
      <c r="C89" s="23"/>
      <c r="D89" s="24"/>
      <c r="E89" s="23" t="s">
        <v>184</v>
      </c>
      <c r="F89" s="30">
        <v>25</v>
      </c>
      <c r="G89" s="33">
        <v>31.25</v>
      </c>
      <c r="H89" s="28" t="s">
        <v>328</v>
      </c>
      <c r="I89" s="23" t="s">
        <v>324</v>
      </c>
      <c r="J89" s="23"/>
      <c r="K89" s="23" t="s">
        <v>62</v>
      </c>
    </row>
    <row r="90" spans="1:11">
      <c r="A90" s="29" t="s">
        <v>186</v>
      </c>
      <c r="B90" s="29"/>
      <c r="C90" s="23"/>
      <c r="D90" s="24"/>
      <c r="E90" s="23" t="s">
        <v>186</v>
      </c>
      <c r="F90" s="30">
        <v>25</v>
      </c>
      <c r="G90" s="33">
        <v>31.25</v>
      </c>
      <c r="H90" s="28" t="s">
        <v>328</v>
      </c>
      <c r="I90" s="23" t="s">
        <v>324</v>
      </c>
      <c r="J90" s="23"/>
      <c r="K90" s="23" t="s">
        <v>38</v>
      </c>
    </row>
    <row r="91" spans="1:11">
      <c r="A91" s="29" t="s">
        <v>188</v>
      </c>
      <c r="B91" s="29"/>
      <c r="C91" s="23"/>
      <c r="D91" s="24"/>
      <c r="E91" s="23" t="s">
        <v>188</v>
      </c>
      <c r="F91" s="30">
        <v>24</v>
      </c>
      <c r="G91" s="33">
        <v>30</v>
      </c>
      <c r="H91" s="28" t="s">
        <v>328</v>
      </c>
      <c r="I91" s="23" t="s">
        <v>324</v>
      </c>
      <c r="J91" s="23"/>
      <c r="K91" s="23" t="s">
        <v>67</v>
      </c>
    </row>
    <row r="92" spans="1:11">
      <c r="A92" s="29" t="s">
        <v>191</v>
      </c>
      <c r="B92" s="29"/>
      <c r="C92" s="23"/>
      <c r="D92" s="24"/>
      <c r="E92" s="23" t="s">
        <v>191</v>
      </c>
      <c r="F92" s="30">
        <v>23</v>
      </c>
      <c r="G92" s="33">
        <v>28.75</v>
      </c>
      <c r="H92" s="28" t="s">
        <v>328</v>
      </c>
      <c r="I92" s="23" t="s">
        <v>324</v>
      </c>
      <c r="J92" s="23"/>
      <c r="K92" s="23" t="s">
        <v>62</v>
      </c>
    </row>
    <row r="93" spans="1:11">
      <c r="A93" s="29" t="s">
        <v>193</v>
      </c>
      <c r="B93" s="29"/>
      <c r="C93" s="23"/>
      <c r="D93" s="24"/>
      <c r="E93" s="23" t="s">
        <v>193</v>
      </c>
      <c r="F93" s="30">
        <v>22</v>
      </c>
      <c r="G93" s="33">
        <v>27.5</v>
      </c>
      <c r="H93" s="28" t="s">
        <v>328</v>
      </c>
      <c r="I93" s="23" t="s">
        <v>324</v>
      </c>
      <c r="J93" s="23"/>
      <c r="K93" s="23" t="s">
        <v>33</v>
      </c>
    </row>
    <row r="94" spans="1:11">
      <c r="A94" s="29" t="s">
        <v>201</v>
      </c>
      <c r="B94" s="29"/>
      <c r="C94" s="23"/>
      <c r="D94" s="24"/>
      <c r="E94" s="23" t="s">
        <v>201</v>
      </c>
      <c r="F94" s="30">
        <v>18</v>
      </c>
      <c r="G94" s="33">
        <v>22.5</v>
      </c>
      <c r="H94" s="28" t="s">
        <v>328</v>
      </c>
      <c r="I94" s="23" t="s">
        <v>324</v>
      </c>
      <c r="J94" s="23"/>
      <c r="K94" s="23" t="s">
        <v>62</v>
      </c>
    </row>
    <row r="95" spans="1:11">
      <c r="A95" s="29" t="s">
        <v>203</v>
      </c>
      <c r="B95" s="29"/>
      <c r="C95" s="23"/>
      <c r="D95" s="24"/>
      <c r="E95" s="23" t="s">
        <v>203</v>
      </c>
      <c r="F95" s="30">
        <v>18</v>
      </c>
      <c r="G95" s="33">
        <v>22.5</v>
      </c>
      <c r="H95" s="28" t="s">
        <v>328</v>
      </c>
      <c r="I95" s="23" t="s">
        <v>324</v>
      </c>
      <c r="J95" s="23"/>
      <c r="K95" s="23" t="s">
        <v>9</v>
      </c>
    </row>
    <row r="96" spans="1:11">
      <c r="A96" s="29" t="s">
        <v>205</v>
      </c>
      <c r="B96" s="29"/>
      <c r="C96" s="23"/>
      <c r="D96" s="24"/>
      <c r="E96" s="23" t="s">
        <v>205</v>
      </c>
      <c r="F96" s="30">
        <v>15</v>
      </c>
      <c r="G96" s="33">
        <v>18.75</v>
      </c>
      <c r="H96" s="28" t="s">
        <v>328</v>
      </c>
      <c r="I96" s="23" t="s">
        <v>324</v>
      </c>
      <c r="J96" s="23"/>
      <c r="K96" s="23" t="s">
        <v>13</v>
      </c>
    </row>
    <row r="97" spans="1:11">
      <c r="A97" s="29" t="s">
        <v>209</v>
      </c>
      <c r="B97" s="29"/>
      <c r="C97" s="23"/>
      <c r="D97" s="24"/>
      <c r="E97" s="23" t="s">
        <v>209</v>
      </c>
      <c r="F97" s="30">
        <v>14</v>
      </c>
      <c r="G97" s="33">
        <v>17.5</v>
      </c>
      <c r="H97" s="28" t="s">
        <v>328</v>
      </c>
      <c r="I97" s="23" t="s">
        <v>324</v>
      </c>
      <c r="J97" s="23"/>
      <c r="K97" s="23" t="s">
        <v>13</v>
      </c>
    </row>
    <row r="98" spans="1:11">
      <c r="A98" s="29" t="s">
        <v>211</v>
      </c>
      <c r="B98" s="29"/>
      <c r="C98" s="23"/>
      <c r="D98" s="24"/>
      <c r="E98" s="23" t="s">
        <v>211</v>
      </c>
      <c r="F98" s="30">
        <v>13</v>
      </c>
      <c r="G98" s="33">
        <v>16.25</v>
      </c>
      <c r="H98" s="28" t="s">
        <v>328</v>
      </c>
      <c r="I98" s="23" t="s">
        <v>324</v>
      </c>
      <c r="J98" s="23"/>
      <c r="K98" s="23" t="s">
        <v>100</v>
      </c>
    </row>
    <row r="99" spans="1:11">
      <c r="A99" s="29" t="s">
        <v>215</v>
      </c>
      <c r="B99" s="29"/>
      <c r="C99" s="23"/>
      <c r="D99" s="24"/>
      <c r="E99" s="23" t="s">
        <v>215</v>
      </c>
      <c r="F99" s="30">
        <v>13</v>
      </c>
      <c r="G99" s="33">
        <v>16.25</v>
      </c>
      <c r="H99" s="28" t="s">
        <v>328</v>
      </c>
      <c r="I99" s="23" t="s">
        <v>324</v>
      </c>
      <c r="J99" s="23"/>
      <c r="K99" s="23" t="s">
        <v>9</v>
      </c>
    </row>
    <row r="100" spans="1:11">
      <c r="A100" s="29" t="s">
        <v>219</v>
      </c>
      <c r="B100" s="29"/>
      <c r="C100" s="23"/>
      <c r="D100" s="24"/>
      <c r="E100" s="23" t="s">
        <v>219</v>
      </c>
      <c r="F100" s="30">
        <v>12</v>
      </c>
      <c r="G100" s="33">
        <v>15</v>
      </c>
      <c r="H100" s="28" t="s">
        <v>328</v>
      </c>
      <c r="I100" s="23" t="s">
        <v>324</v>
      </c>
      <c r="J100" s="23"/>
      <c r="K100" s="23" t="s">
        <v>25</v>
      </c>
    </row>
    <row r="101" spans="1:11">
      <c r="A101" s="29" t="s">
        <v>221</v>
      </c>
      <c r="B101" s="29"/>
      <c r="C101" s="23"/>
      <c r="D101" s="24"/>
      <c r="E101" s="23" t="s">
        <v>221</v>
      </c>
      <c r="F101" s="30">
        <v>11</v>
      </c>
      <c r="G101" s="33">
        <v>13.75</v>
      </c>
      <c r="H101" s="28" t="s">
        <v>328</v>
      </c>
      <c r="I101" s="23" t="s">
        <v>324</v>
      </c>
      <c r="J101" s="23"/>
      <c r="K101" s="23" t="s">
        <v>67</v>
      </c>
    </row>
    <row r="102" spans="1:11">
      <c r="A102" s="29" t="s">
        <v>223</v>
      </c>
      <c r="B102" s="29"/>
      <c r="C102" s="23"/>
      <c r="D102" s="24"/>
      <c r="E102" s="23" t="s">
        <v>223</v>
      </c>
      <c r="F102" s="30">
        <v>10</v>
      </c>
      <c r="G102" s="33">
        <v>12.5</v>
      </c>
      <c r="H102" s="28" t="s">
        <v>328</v>
      </c>
      <c r="I102" s="23" t="s">
        <v>324</v>
      </c>
      <c r="J102" s="23"/>
      <c r="K102" s="23" t="s">
        <v>25</v>
      </c>
    </row>
    <row r="103" spans="1:11">
      <c r="A103" s="29" t="s">
        <v>225</v>
      </c>
      <c r="B103" s="29"/>
      <c r="C103" s="23"/>
      <c r="D103" s="24"/>
      <c r="E103" s="23" t="s">
        <v>225</v>
      </c>
      <c r="F103" s="30">
        <v>10</v>
      </c>
      <c r="G103" s="33">
        <v>12.5</v>
      </c>
      <c r="H103" s="28" t="s">
        <v>328</v>
      </c>
      <c r="I103" s="23" t="s">
        <v>324</v>
      </c>
      <c r="J103" s="23"/>
      <c r="K103" s="23" t="s">
        <v>62</v>
      </c>
    </row>
    <row r="104" spans="1:11">
      <c r="A104" s="29" t="s">
        <v>227</v>
      </c>
      <c r="B104" s="29"/>
      <c r="C104" s="23"/>
      <c r="D104" s="24"/>
      <c r="E104" s="23" t="s">
        <v>227</v>
      </c>
      <c r="F104" s="30">
        <v>10</v>
      </c>
      <c r="G104" s="33">
        <v>12.5</v>
      </c>
      <c r="H104" s="28" t="s">
        <v>328</v>
      </c>
      <c r="I104" s="23" t="s">
        <v>324</v>
      </c>
      <c r="J104" s="23"/>
      <c r="K104" s="23" t="s">
        <v>94</v>
      </c>
    </row>
    <row r="105" spans="1:11">
      <c r="A105" s="29" t="s">
        <v>229</v>
      </c>
      <c r="B105" s="29"/>
      <c r="C105" s="23"/>
      <c r="D105" s="24"/>
      <c r="E105" s="23" t="s">
        <v>229</v>
      </c>
      <c r="F105" s="30">
        <v>10</v>
      </c>
      <c r="G105" s="33">
        <v>12.5</v>
      </c>
      <c r="H105" s="28" t="s">
        <v>328</v>
      </c>
      <c r="I105" s="23" t="s">
        <v>324</v>
      </c>
      <c r="J105" s="23"/>
      <c r="K105" s="23" t="s">
        <v>25</v>
      </c>
    </row>
    <row r="106" spans="1:11">
      <c r="A106" s="29" t="s">
        <v>232</v>
      </c>
      <c r="B106" s="29"/>
      <c r="C106" s="23"/>
      <c r="D106" s="24"/>
      <c r="E106" s="23" t="s">
        <v>232</v>
      </c>
      <c r="F106" s="30">
        <v>9</v>
      </c>
      <c r="G106" s="33">
        <v>11.25</v>
      </c>
      <c r="H106" s="28" t="s">
        <v>328</v>
      </c>
      <c r="I106" s="23" t="s">
        <v>324</v>
      </c>
      <c r="J106" s="23"/>
      <c r="K106" s="23" t="s">
        <v>62</v>
      </c>
    </row>
    <row r="107" spans="1:11">
      <c r="A107" s="29" t="s">
        <v>236</v>
      </c>
      <c r="B107" s="29"/>
      <c r="C107" s="23"/>
      <c r="D107" s="24"/>
      <c r="E107" s="23" t="s">
        <v>236</v>
      </c>
      <c r="F107" s="30">
        <v>9</v>
      </c>
      <c r="G107" s="33">
        <v>11.25</v>
      </c>
      <c r="H107" s="28" t="s">
        <v>328</v>
      </c>
      <c r="I107" s="23" t="s">
        <v>324</v>
      </c>
      <c r="J107" s="23"/>
      <c r="K107" s="23" t="s">
        <v>13</v>
      </c>
    </row>
    <row r="108" spans="1:11">
      <c r="A108" s="29" t="s">
        <v>239</v>
      </c>
      <c r="B108" s="29"/>
      <c r="C108" s="23"/>
      <c r="D108" s="24"/>
      <c r="E108" s="23" t="s">
        <v>239</v>
      </c>
      <c r="F108" s="30">
        <v>8</v>
      </c>
      <c r="G108" s="33">
        <v>10</v>
      </c>
      <c r="H108" s="28" t="s">
        <v>328</v>
      </c>
      <c r="I108" s="23" t="s">
        <v>324</v>
      </c>
      <c r="J108" s="23"/>
      <c r="K108" s="23" t="s">
        <v>67</v>
      </c>
    </row>
    <row r="109" spans="1:11">
      <c r="A109" s="29" t="s">
        <v>242</v>
      </c>
      <c r="B109" s="29"/>
      <c r="C109" s="23"/>
      <c r="D109" s="24"/>
      <c r="E109" s="23" t="s">
        <v>242</v>
      </c>
      <c r="F109" s="30">
        <v>8</v>
      </c>
      <c r="G109" s="33">
        <v>10</v>
      </c>
      <c r="H109" s="28" t="s">
        <v>328</v>
      </c>
      <c r="I109" s="23" t="s">
        <v>324</v>
      </c>
      <c r="J109" s="23"/>
      <c r="K109" s="23" t="s">
        <v>100</v>
      </c>
    </row>
    <row r="110" spans="1:11">
      <c r="A110" s="29" t="s">
        <v>246</v>
      </c>
      <c r="B110" s="29"/>
      <c r="C110" s="23"/>
      <c r="D110" s="24"/>
      <c r="E110" s="23" t="s">
        <v>246</v>
      </c>
      <c r="F110" s="30">
        <v>6</v>
      </c>
      <c r="G110" s="33">
        <v>7.5</v>
      </c>
      <c r="H110" s="28" t="s">
        <v>328</v>
      </c>
      <c r="I110" s="23" t="s">
        <v>324</v>
      </c>
      <c r="J110" s="23"/>
      <c r="K110" s="23" t="s">
        <v>133</v>
      </c>
    </row>
    <row r="111" spans="1:11">
      <c r="A111" s="29" t="s">
        <v>248</v>
      </c>
      <c r="B111" s="29"/>
      <c r="C111" s="23"/>
      <c r="D111" s="24"/>
      <c r="E111" s="23" t="s">
        <v>248</v>
      </c>
      <c r="F111" s="30">
        <v>6</v>
      </c>
      <c r="G111" s="33">
        <v>7.5</v>
      </c>
      <c r="H111" s="28" t="s">
        <v>328</v>
      </c>
      <c r="I111" s="23" t="s">
        <v>324</v>
      </c>
      <c r="J111" s="23"/>
      <c r="K111" s="23" t="s">
        <v>94</v>
      </c>
    </row>
    <row r="112" spans="1:11">
      <c r="A112" s="29" t="s">
        <v>252</v>
      </c>
      <c r="B112" s="29"/>
      <c r="C112" s="23"/>
      <c r="D112" s="24"/>
      <c r="E112" s="23" t="s">
        <v>252</v>
      </c>
      <c r="F112" s="30">
        <v>5</v>
      </c>
      <c r="G112" s="33">
        <v>6.25</v>
      </c>
      <c r="H112" s="28" t="s">
        <v>328</v>
      </c>
      <c r="I112" s="23" t="s">
        <v>324</v>
      </c>
      <c r="J112" s="23"/>
      <c r="K112" s="23" t="s">
        <v>13</v>
      </c>
    </row>
    <row r="113" spans="1:11">
      <c r="A113" s="29" t="s">
        <v>254</v>
      </c>
      <c r="B113" s="29"/>
      <c r="C113" s="23"/>
      <c r="D113" s="24"/>
      <c r="E113" s="23" t="s">
        <v>254</v>
      </c>
      <c r="F113" s="30">
        <v>5</v>
      </c>
      <c r="G113" s="33">
        <v>6.25</v>
      </c>
      <c r="H113" s="28" t="s">
        <v>328</v>
      </c>
      <c r="I113" s="23" t="s">
        <v>324</v>
      </c>
      <c r="J113" s="23"/>
      <c r="K113" s="23" t="s">
        <v>25</v>
      </c>
    </row>
    <row r="114" spans="1:11">
      <c r="A114" s="29" t="s">
        <v>256</v>
      </c>
      <c r="B114" s="29"/>
      <c r="C114" s="23"/>
      <c r="D114" s="24"/>
      <c r="E114" s="23" t="s">
        <v>256</v>
      </c>
      <c r="F114" s="30">
        <v>5</v>
      </c>
      <c r="G114" s="33">
        <v>6.25</v>
      </c>
      <c r="H114" s="28" t="s">
        <v>328</v>
      </c>
      <c r="I114" s="23" t="s">
        <v>324</v>
      </c>
      <c r="J114" s="23"/>
      <c r="K114" s="23" t="s">
        <v>67</v>
      </c>
    </row>
    <row r="115" spans="1:11">
      <c r="A115" s="29" t="s">
        <v>259</v>
      </c>
      <c r="B115" s="29"/>
      <c r="C115" s="23"/>
      <c r="D115" s="24"/>
      <c r="E115" s="23" t="s">
        <v>259</v>
      </c>
      <c r="F115" s="30">
        <v>4</v>
      </c>
      <c r="G115" s="33">
        <v>5</v>
      </c>
      <c r="H115" s="28" t="s">
        <v>328</v>
      </c>
      <c r="I115" s="23" t="s">
        <v>324</v>
      </c>
      <c r="J115" s="23"/>
      <c r="K115" s="23" t="s">
        <v>100</v>
      </c>
    </row>
    <row r="116" spans="1:11">
      <c r="A116" s="29" t="s">
        <v>261</v>
      </c>
      <c r="B116" s="29"/>
      <c r="C116" s="23"/>
      <c r="D116" s="24"/>
      <c r="E116" s="23" t="s">
        <v>261</v>
      </c>
      <c r="F116" s="30">
        <v>4</v>
      </c>
      <c r="G116" s="33">
        <v>5</v>
      </c>
      <c r="H116" s="28" t="s">
        <v>328</v>
      </c>
      <c r="I116" s="23" t="s">
        <v>324</v>
      </c>
      <c r="J116" s="23"/>
      <c r="K116" s="23" t="s">
        <v>33</v>
      </c>
    </row>
    <row r="117" spans="1:11">
      <c r="A117" s="29" t="s">
        <v>265</v>
      </c>
      <c r="B117" s="29"/>
      <c r="C117" s="23"/>
      <c r="D117" s="24"/>
      <c r="E117" s="23" t="s">
        <v>265</v>
      </c>
      <c r="F117" s="30">
        <v>4</v>
      </c>
      <c r="G117" s="33">
        <v>5</v>
      </c>
      <c r="H117" s="28" t="s">
        <v>328</v>
      </c>
      <c r="I117" s="23" t="s">
        <v>324</v>
      </c>
      <c r="J117" s="23"/>
      <c r="K117" s="23" t="s">
        <v>9</v>
      </c>
    </row>
    <row r="118" spans="1:11">
      <c r="A118" s="29" t="s">
        <v>267</v>
      </c>
      <c r="B118" s="29"/>
      <c r="C118" s="23"/>
      <c r="D118" s="24"/>
      <c r="E118" s="23" t="s">
        <v>267</v>
      </c>
      <c r="F118" s="30">
        <v>4</v>
      </c>
      <c r="G118" s="33">
        <v>5</v>
      </c>
      <c r="H118" s="28" t="s">
        <v>328</v>
      </c>
      <c r="I118" s="23" t="s">
        <v>324</v>
      </c>
      <c r="J118" s="23"/>
      <c r="K118" s="23" t="s">
        <v>62</v>
      </c>
    </row>
    <row r="119" spans="1:11">
      <c r="A119" s="29" t="s">
        <v>269</v>
      </c>
      <c r="B119" s="29"/>
      <c r="C119" s="23"/>
      <c r="D119" s="24"/>
      <c r="E119" s="23" t="s">
        <v>269</v>
      </c>
      <c r="F119" s="30">
        <v>4</v>
      </c>
      <c r="G119" s="33">
        <v>5</v>
      </c>
      <c r="H119" s="28" t="s">
        <v>328</v>
      </c>
      <c r="I119" s="23" t="s">
        <v>324</v>
      </c>
      <c r="J119" s="23"/>
      <c r="K119" s="23" t="s">
        <v>9</v>
      </c>
    </row>
    <row r="120" spans="1:11">
      <c r="A120" s="29" t="s">
        <v>62</v>
      </c>
      <c r="B120" s="29"/>
      <c r="C120" s="23"/>
      <c r="D120" s="24"/>
      <c r="E120" s="23" t="s">
        <v>62</v>
      </c>
      <c r="F120" s="30">
        <v>4</v>
      </c>
      <c r="G120" s="33">
        <v>5</v>
      </c>
      <c r="H120" s="28" t="s">
        <v>328</v>
      </c>
      <c r="I120" s="23" t="s">
        <v>324</v>
      </c>
      <c r="J120" s="23"/>
      <c r="K120" s="23" t="s">
        <v>62</v>
      </c>
    </row>
    <row r="121" spans="1:11">
      <c r="A121" s="29" t="s">
        <v>272</v>
      </c>
      <c r="B121" s="29"/>
      <c r="C121" s="23"/>
      <c r="D121" s="24"/>
      <c r="E121" s="23" t="s">
        <v>272</v>
      </c>
      <c r="F121" s="30">
        <v>4</v>
      </c>
      <c r="G121" s="33">
        <v>5</v>
      </c>
      <c r="H121" s="28" t="s">
        <v>328</v>
      </c>
      <c r="I121" s="23" t="s">
        <v>324</v>
      </c>
      <c r="J121" s="23"/>
      <c r="K121" s="23" t="s">
        <v>28</v>
      </c>
    </row>
    <row r="122" spans="1:11">
      <c r="A122" s="29" t="s">
        <v>276</v>
      </c>
      <c r="B122" s="29"/>
      <c r="C122" s="23"/>
      <c r="D122" s="24"/>
      <c r="E122" s="23" t="s">
        <v>276</v>
      </c>
      <c r="F122" s="30">
        <v>3</v>
      </c>
      <c r="G122" s="33">
        <v>3.75</v>
      </c>
      <c r="H122" s="28" t="s">
        <v>328</v>
      </c>
      <c r="I122" s="23" t="s">
        <v>324</v>
      </c>
      <c r="J122" s="23"/>
      <c r="K122" s="23" t="s">
        <v>94</v>
      </c>
    </row>
    <row r="123" spans="1:11">
      <c r="A123" s="29" t="s">
        <v>277</v>
      </c>
      <c r="B123" s="29"/>
      <c r="C123" s="23"/>
      <c r="D123" s="24"/>
      <c r="E123" s="23" t="s">
        <v>277</v>
      </c>
      <c r="F123" s="30">
        <v>3</v>
      </c>
      <c r="G123" s="33">
        <v>3.75</v>
      </c>
      <c r="H123" s="28" t="s">
        <v>328</v>
      </c>
      <c r="I123" s="23" t="s">
        <v>324</v>
      </c>
      <c r="J123" s="23"/>
      <c r="K123" s="23" t="s">
        <v>94</v>
      </c>
    </row>
    <row r="124" spans="1:11">
      <c r="A124" s="29" t="s">
        <v>278</v>
      </c>
      <c r="B124" s="29"/>
      <c r="C124" s="23"/>
      <c r="D124" s="24"/>
      <c r="E124" s="23" t="s">
        <v>278</v>
      </c>
      <c r="F124" s="30">
        <v>3</v>
      </c>
      <c r="G124" s="33">
        <v>3.75</v>
      </c>
      <c r="H124" s="28" t="s">
        <v>328</v>
      </c>
      <c r="I124" s="23" t="s">
        <v>324</v>
      </c>
      <c r="J124" s="23"/>
      <c r="K124" s="23" t="s">
        <v>28</v>
      </c>
    </row>
    <row r="125" spans="1:11">
      <c r="A125" s="29" t="s">
        <v>279</v>
      </c>
      <c r="B125" s="29"/>
      <c r="C125" s="23"/>
      <c r="D125" s="24"/>
      <c r="E125" s="23" t="s">
        <v>279</v>
      </c>
      <c r="F125" s="30">
        <v>2</v>
      </c>
      <c r="G125" s="33">
        <v>2.5</v>
      </c>
      <c r="H125" s="28" t="s">
        <v>328</v>
      </c>
      <c r="I125" s="23" t="s">
        <v>324</v>
      </c>
      <c r="J125" s="23"/>
      <c r="K125" s="23" t="s">
        <v>133</v>
      </c>
    </row>
    <row r="126" spans="1:11">
      <c r="A126" s="29" t="s">
        <v>281</v>
      </c>
      <c r="B126" s="29"/>
      <c r="C126" s="23"/>
      <c r="D126" s="24"/>
      <c r="E126" s="23" t="s">
        <v>281</v>
      </c>
      <c r="F126" s="30">
        <v>2</v>
      </c>
      <c r="G126" s="33">
        <v>2.5</v>
      </c>
      <c r="H126" s="28" t="s">
        <v>328</v>
      </c>
      <c r="I126" s="23" t="s">
        <v>324</v>
      </c>
      <c r="J126" s="23"/>
      <c r="K126" s="23" t="s">
        <v>25</v>
      </c>
    </row>
    <row r="127" spans="1:11">
      <c r="A127" s="29" t="s">
        <v>282</v>
      </c>
      <c r="B127" s="29"/>
      <c r="C127" s="23"/>
      <c r="D127" s="24"/>
      <c r="E127" s="23" t="s">
        <v>282</v>
      </c>
      <c r="F127" s="30">
        <v>2</v>
      </c>
      <c r="G127" s="33">
        <v>2.5</v>
      </c>
      <c r="H127" s="28" t="s">
        <v>328</v>
      </c>
      <c r="I127" s="23" t="s">
        <v>324</v>
      </c>
      <c r="J127" s="23"/>
      <c r="K127" s="23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96AD-E696-4EE6-8135-C25ED327EBB9}">
  <dimension ref="A1:H51"/>
  <sheetViews>
    <sheetView workbookViewId="0">
      <selection activeCell="H6" sqref="H6"/>
    </sheetView>
  </sheetViews>
  <sheetFormatPr defaultRowHeight="15"/>
  <cols>
    <col min="1" max="1" width="39.28515625" customWidth="1"/>
    <col min="2" max="2" width="27.28515625" customWidth="1"/>
    <col min="3" max="4" width="23.42578125" customWidth="1"/>
    <col min="5" max="5" width="40.7109375" customWidth="1"/>
    <col min="6" max="6" width="6.85546875" customWidth="1"/>
    <col min="7" max="8" width="33.140625" customWidth="1"/>
  </cols>
  <sheetData>
    <row r="1" spans="1:8">
      <c r="A1" s="50" t="s">
        <v>329</v>
      </c>
      <c r="B1" s="50"/>
      <c r="C1" s="50"/>
      <c r="D1" s="50"/>
      <c r="E1" s="50"/>
      <c r="F1" s="50"/>
    </row>
    <row r="2" spans="1:8">
      <c r="A2" s="50" t="s">
        <v>330</v>
      </c>
      <c r="B2" s="50"/>
      <c r="C2" s="50"/>
      <c r="D2" s="50"/>
      <c r="E2" s="50"/>
      <c r="F2" s="50"/>
    </row>
    <row r="3" spans="1:8">
      <c r="A3" s="13"/>
      <c r="B3" s="13"/>
      <c r="D3" s="13"/>
      <c r="E3" s="6"/>
    </row>
    <row r="4" spans="1:8">
      <c r="A4" s="39" t="s">
        <v>310</v>
      </c>
      <c r="B4" s="41" t="s">
        <v>331</v>
      </c>
      <c r="C4" s="41" t="s">
        <v>316</v>
      </c>
      <c r="D4" s="41" t="s">
        <v>332</v>
      </c>
      <c r="E4" s="14" t="s">
        <v>333</v>
      </c>
    </row>
    <row r="5" spans="1:8">
      <c r="A5" t="str" cm="1">
        <f t="array" ref="A5:A51">_xlfn._xlws.FILTER(Skill_Matching!A2:A82,(Skill_Matching!H2:H82="Covered")+(Skill_Matching!H2:H82="Partially Covered"),"")</f>
        <v>Python</v>
      </c>
      <c r="B5" s="9" cm="1">
        <f t="array" ref="B5:B51">_xlfn._xlws.FILTER(Skill_Matching!D2:D82,(Skill_Matching!H2:H82="Covered")+(Skill_Matching!H2:H82="Partially Covered"),"")</f>
        <v>90</v>
      </c>
      <c r="C5" s="40" cm="1">
        <f t="array" ref="C5:C51">_xlfn._xlws.FILTER(Skill_Matching!G2:G82,(Skill_Matching!H2:H82="Covered")+(Skill_Matching!H2:H82="Partially Covered"),"")</f>
        <v>98.75</v>
      </c>
      <c r="D5" s="38">
        <f>IF(OR(B5="",C5="",MAX(B5,C5)=0),"",MIN(B5,C5)/MAX(B5,C5))</f>
        <v>0.91139240506329111</v>
      </c>
      <c r="E5" s="9">
        <f>IF(OR(B5="",C5=""),"",B5-C5)</f>
        <v>-8.75</v>
      </c>
    </row>
    <row r="6" spans="1:8">
      <c r="A6" t="str">
        <v>Machine Learning</v>
      </c>
      <c r="B6" s="9">
        <v>82.31</v>
      </c>
      <c r="C6" s="40">
        <v>93.75</v>
      </c>
      <c r="D6" s="38">
        <f t="shared" ref="D6:D51" si="0">IF(OR(B6="",C6="",MAX(B6,C6)=0),"",MIN(B6,C6)/MAX(B6,C6))</f>
        <v>0.87797333333333338</v>
      </c>
      <c r="E6" s="9">
        <f t="shared" ref="E6:E51" si="1">IF(OR(B6="",C6=""),"",B6-C6)</f>
        <v>-11.439999999999998</v>
      </c>
    </row>
    <row r="7" spans="1:8">
      <c r="A7" t="str">
        <v>SQL</v>
      </c>
      <c r="B7" s="9">
        <v>53.08</v>
      </c>
      <c r="C7" s="40">
        <v>40</v>
      </c>
      <c r="D7" s="38">
        <f t="shared" si="0"/>
        <v>0.75357950263752826</v>
      </c>
      <c r="E7" s="9">
        <f t="shared" si="1"/>
        <v>13.079999999999998</v>
      </c>
    </row>
    <row r="8" spans="1:8">
      <c r="A8" t="str">
        <v>Cloud Platforms (AWS / Azure / GCP)</v>
      </c>
      <c r="B8" s="9">
        <v>48.46</v>
      </c>
      <c r="C8" s="40">
        <v>16.25</v>
      </c>
      <c r="D8" s="38">
        <f t="shared" si="0"/>
        <v>0.33532810565414772</v>
      </c>
      <c r="E8" s="9">
        <f t="shared" si="1"/>
        <v>32.21</v>
      </c>
      <c r="G8" s="34" t="s">
        <v>334</v>
      </c>
      <c r="H8" s="4"/>
    </row>
    <row r="9" spans="1:8">
      <c r="A9" t="str">
        <v>Scikit-learn / NumPy / Pandas</v>
      </c>
      <c r="B9" s="9">
        <v>47.69</v>
      </c>
      <c r="C9" s="40">
        <v>93.75</v>
      </c>
      <c r="D9" s="38">
        <f t="shared" si="0"/>
        <v>0.50869333333333333</v>
      </c>
      <c r="E9" s="9">
        <f t="shared" si="1"/>
        <v>-46.06</v>
      </c>
      <c r="G9" s="4"/>
    </row>
    <row r="10" spans="1:8">
      <c r="A10" t="str">
        <v>Statistical Analysis</v>
      </c>
      <c r="B10" s="9">
        <v>47.69</v>
      </c>
      <c r="C10" s="40">
        <v>100</v>
      </c>
      <c r="D10" s="38">
        <f t="shared" si="0"/>
        <v>0.47689999999999999</v>
      </c>
      <c r="E10" s="9">
        <f t="shared" si="1"/>
        <v>-52.31</v>
      </c>
      <c r="G10" s="35" t="s">
        <v>335</v>
      </c>
      <c r="H10" s="40">
        <f>COUNT(B5:B51)</f>
        <v>47</v>
      </c>
    </row>
    <row r="11" spans="1:8">
      <c r="A11" t="str">
        <v>Large Language Models (LLMs)</v>
      </c>
      <c r="B11" s="9">
        <v>36.92</v>
      </c>
      <c r="C11" s="40">
        <v>70</v>
      </c>
      <c r="D11" s="38">
        <f t="shared" si="0"/>
        <v>0.52742857142857147</v>
      </c>
      <c r="E11" s="9">
        <f t="shared" si="1"/>
        <v>-33.08</v>
      </c>
      <c r="G11" s="35" t="s">
        <v>336</v>
      </c>
      <c r="H11" s="38">
        <f>AVERAGE(D5:D51)</f>
        <v>0.33178113917029067</v>
      </c>
    </row>
    <row r="12" spans="1:8">
      <c r="A12" t="str">
        <v>Generative AI</v>
      </c>
      <c r="B12" s="9">
        <v>34.619999999999997</v>
      </c>
      <c r="C12" s="40">
        <v>10</v>
      </c>
      <c r="D12" s="38">
        <f t="shared" si="0"/>
        <v>0.2888503755054882</v>
      </c>
      <c r="E12" s="9">
        <f t="shared" si="1"/>
        <v>24.619999999999997</v>
      </c>
      <c r="G12" s="35" t="s">
        <v>337</v>
      </c>
      <c r="H12" s="9" t="str">
        <f>INDEX(A5:A51,MATCH(MAX(D5:D51),D5:D51,0))</f>
        <v>Feature Engineering</v>
      </c>
    </row>
    <row r="13" spans="1:8">
      <c r="A13" t="str">
        <v>PyTorch</v>
      </c>
      <c r="B13" s="9">
        <v>33.85</v>
      </c>
      <c r="C13" s="40">
        <v>78.75</v>
      </c>
      <c r="D13" s="38">
        <f t="shared" si="0"/>
        <v>0.42984126984126986</v>
      </c>
      <c r="E13" s="9">
        <f t="shared" si="1"/>
        <v>-44.9</v>
      </c>
      <c r="G13" s="35" t="s">
        <v>338</v>
      </c>
      <c r="H13" s="38">
        <f>MAX(D5:D51)</f>
        <v>0.99580712788259951</v>
      </c>
    </row>
    <row r="14" spans="1:8">
      <c r="A14" t="str">
        <v>TensorFlow / Keras</v>
      </c>
      <c r="B14" s="9">
        <v>32.31</v>
      </c>
      <c r="C14" s="40">
        <v>78.75</v>
      </c>
      <c r="D14" s="38">
        <f t="shared" si="0"/>
        <v>0.41028571428571431</v>
      </c>
      <c r="E14" s="9">
        <f t="shared" si="1"/>
        <v>-46.44</v>
      </c>
      <c r="G14" s="35" t="s">
        <v>339</v>
      </c>
      <c r="H14" s="20" t="str">
        <f>INDEX(A5:A51,MATCH(MIN(D5:D51),D5:D51,0))</f>
        <v>Causal Inference</v>
      </c>
    </row>
    <row r="15" spans="1:8">
      <c r="A15" t="str">
        <v>Data Visualization</v>
      </c>
      <c r="B15" s="9">
        <v>30</v>
      </c>
      <c r="C15" s="40">
        <v>43.75</v>
      </c>
      <c r="D15" s="38">
        <f t="shared" si="0"/>
        <v>0.68571428571428572</v>
      </c>
      <c r="E15" s="9">
        <f t="shared" si="1"/>
        <v>-13.75</v>
      </c>
      <c r="G15" s="35" t="s">
        <v>340</v>
      </c>
      <c r="H15" s="21">
        <f>MIN(D5:D51)</f>
        <v>1.54E-2</v>
      </c>
    </row>
    <row r="16" spans="1:8">
      <c r="A16" t="str">
        <v>Natural Language Processing (NLP)</v>
      </c>
      <c r="B16" s="9">
        <v>30</v>
      </c>
      <c r="C16" s="40">
        <v>70</v>
      </c>
      <c r="D16" s="38">
        <f t="shared" si="0"/>
        <v>0.42857142857142855</v>
      </c>
      <c r="E16" s="9">
        <f t="shared" si="1"/>
        <v>-40</v>
      </c>
      <c r="G16" s="35" t="s">
        <v>341</v>
      </c>
      <c r="H16" s="40" t="str">
        <f>INDEX(A5:A51,MATCH(MAX(E5:E51),E5:E51,0))</f>
        <v>Cloud Platforms (AWS / Azure / GCP)</v>
      </c>
    </row>
    <row r="17" spans="1:8">
      <c r="A17" t="str">
        <v>Deep Learning</v>
      </c>
      <c r="B17" s="9">
        <v>29.23</v>
      </c>
      <c r="C17" s="40">
        <v>78.75</v>
      </c>
      <c r="D17" s="38">
        <f t="shared" si="0"/>
        <v>0.37117460317460316</v>
      </c>
      <c r="E17" s="9">
        <f t="shared" si="1"/>
        <v>-49.519999999999996</v>
      </c>
      <c r="G17" s="35" t="s">
        <v>342</v>
      </c>
      <c r="H17" s="9">
        <f>MAX(E5:E51)</f>
        <v>32.21</v>
      </c>
    </row>
    <row r="18" spans="1:8">
      <c r="A18" t="str">
        <v>Feature Engineering</v>
      </c>
      <c r="B18" s="9">
        <v>23.85</v>
      </c>
      <c r="C18" s="40">
        <v>23.75</v>
      </c>
      <c r="D18" s="38">
        <f t="shared" si="0"/>
        <v>0.99580712788259951</v>
      </c>
      <c r="E18" s="9">
        <f t="shared" si="1"/>
        <v>0.10000000000000142</v>
      </c>
      <c r="G18" s="36" t="s">
        <v>343</v>
      </c>
      <c r="H18" s="40" t="str">
        <f>INDEX(A5:A51,MATCH(MIN(E5:E51),E5:E51,0))</f>
        <v>Causal Inference</v>
      </c>
    </row>
    <row r="19" spans="1:8">
      <c r="A19" t="str">
        <v>Data Preprocessing &amp; Cleaning</v>
      </c>
      <c r="B19" s="9">
        <v>13.85</v>
      </c>
      <c r="C19" s="40">
        <v>23.75</v>
      </c>
      <c r="D19" s="38">
        <f t="shared" si="0"/>
        <v>0.5831578947368421</v>
      </c>
      <c r="E19" s="9">
        <f t="shared" si="1"/>
        <v>-9.9</v>
      </c>
      <c r="G19" s="36" t="s">
        <v>344</v>
      </c>
      <c r="H19" s="9">
        <f>MIN(E5:E51)</f>
        <v>-98.46</v>
      </c>
    </row>
    <row r="20" spans="1:8">
      <c r="A20" t="str">
        <v>Time Series Forecasting</v>
      </c>
      <c r="B20" s="9">
        <v>11.54</v>
      </c>
      <c r="C20" s="40">
        <v>22.5</v>
      </c>
      <c r="D20" s="38">
        <f t="shared" si="0"/>
        <v>0.51288888888888884</v>
      </c>
      <c r="E20" s="9">
        <f t="shared" si="1"/>
        <v>-10.96</v>
      </c>
    </row>
    <row r="21" spans="1:8">
      <c r="A21" t="str">
        <v>Data Visualization &amp; Dashboards</v>
      </c>
      <c r="B21" s="9">
        <v>10.77</v>
      </c>
      <c r="C21" s="40">
        <v>8.75</v>
      </c>
      <c r="D21" s="38">
        <f t="shared" si="0"/>
        <v>0.81244196843082639</v>
      </c>
      <c r="E21" s="9">
        <f t="shared" si="1"/>
        <v>2.0199999999999996</v>
      </c>
    </row>
    <row r="22" spans="1:8">
      <c r="A22" t="str">
        <v>Data Pipelines &amp; Automation</v>
      </c>
      <c r="B22" s="9">
        <v>8.4600000000000009</v>
      </c>
      <c r="C22" s="40">
        <v>5</v>
      </c>
      <c r="D22" s="38">
        <f t="shared" si="0"/>
        <v>0.59101654846335694</v>
      </c>
      <c r="E22" s="9">
        <f t="shared" si="1"/>
        <v>3.4600000000000009</v>
      </c>
      <c r="G22" t="s">
        <v>345</v>
      </c>
      <c r="H22" t="s">
        <v>332</v>
      </c>
    </row>
    <row r="23" spans="1:8">
      <c r="A23" t="str">
        <v>Hypothesis Testing</v>
      </c>
      <c r="B23" s="9">
        <v>8.4600000000000009</v>
      </c>
      <c r="C23" s="40">
        <v>100</v>
      </c>
      <c r="D23" s="38">
        <f t="shared" si="0"/>
        <v>8.4600000000000009E-2</v>
      </c>
      <c r="E23" s="9">
        <f t="shared" si="1"/>
        <v>-91.539999999999992</v>
      </c>
      <c r="G23" t="str">
        <f>INDEX($A$5:$A$51,MATCH(LARGE($D$5:$D$51,ROWS($G$22:G22)),$D$5:$D$51,0))</f>
        <v>Feature Engineering</v>
      </c>
      <c r="H23" s="38">
        <f>LARGE($D$5:$D$51,ROWS($H$22:H22))</f>
        <v>0.99580712788259951</v>
      </c>
    </row>
    <row r="24" spans="1:8">
      <c r="A24" t="str">
        <v>R Programming</v>
      </c>
      <c r="B24" s="9">
        <v>7.69</v>
      </c>
      <c r="C24" s="40">
        <v>28.75</v>
      </c>
      <c r="D24" s="38">
        <f t="shared" si="0"/>
        <v>0.26747826086956522</v>
      </c>
      <c r="E24" s="9">
        <f t="shared" si="1"/>
        <v>-21.06</v>
      </c>
      <c r="G24" t="str">
        <f>INDEX($A$5:$A$51,MATCH(LARGE($D$5:$D$51,ROWS($G$22:G23)),$D$5:$D$51,0))</f>
        <v>Python</v>
      </c>
      <c r="H24" s="38">
        <f>LARGE($D$5:$D$51,ROWS($H$22:H23))</f>
        <v>0.91139240506329111</v>
      </c>
    </row>
    <row r="25" spans="1:8">
      <c r="A25" t="str">
        <v>Anomaly Detection</v>
      </c>
      <c r="B25" s="9">
        <v>6.15</v>
      </c>
      <c r="C25" s="40">
        <v>93.75</v>
      </c>
      <c r="D25" s="38">
        <f t="shared" si="0"/>
        <v>6.5600000000000006E-2</v>
      </c>
      <c r="E25" s="9">
        <f t="shared" si="1"/>
        <v>-87.6</v>
      </c>
      <c r="G25" t="str">
        <f>INDEX($A$5:$A$51,MATCH(LARGE($D$5:$D$51,ROWS($G$22:G24)),$D$5:$D$51,0))</f>
        <v>Machine Learning</v>
      </c>
      <c r="H25" s="38">
        <f>LARGE($D$5:$D$51,ROWS($H$22:H24))</f>
        <v>0.87797333333333338</v>
      </c>
    </row>
    <row r="26" spans="1:8">
      <c r="A26" t="str">
        <v>ETL / ELT Pipelines &amp; Data Pipelines</v>
      </c>
      <c r="B26" s="9">
        <v>6.15</v>
      </c>
      <c r="C26" s="40">
        <v>5</v>
      </c>
      <c r="D26" s="38">
        <f t="shared" si="0"/>
        <v>0.81300813008130079</v>
      </c>
      <c r="E26" s="9">
        <f t="shared" si="1"/>
        <v>1.1500000000000004</v>
      </c>
      <c r="G26" t="str">
        <f>INDEX($A$5:$A$51,MATCH(LARGE($D$5:$D$51,ROWS($G$22:G25)),$D$5:$D$51,0))</f>
        <v>ETL / ELT Pipelines &amp; Data Pipelines</v>
      </c>
      <c r="H26" s="38">
        <f>LARGE($D$5:$D$51,ROWS($H$22:H25))</f>
        <v>0.81300813008130079</v>
      </c>
    </row>
    <row r="27" spans="1:8">
      <c r="A27" t="str">
        <v>Exploratory Data Analysis (EDA)</v>
      </c>
      <c r="B27" s="9">
        <v>6.15</v>
      </c>
      <c r="C27" s="40">
        <v>10</v>
      </c>
      <c r="D27" s="38">
        <f t="shared" si="0"/>
        <v>0.61499999999999999</v>
      </c>
      <c r="E27" s="9">
        <f t="shared" si="1"/>
        <v>-3.8499999999999996</v>
      </c>
      <c r="G27" t="str">
        <f>INDEX($A$5:$A$51,MATCH(LARGE($D$5:$D$51,ROWS($G$22:G26)),$D$5:$D$51,0))</f>
        <v>Data Visualization &amp; Dashboards</v>
      </c>
      <c r="H27" s="38">
        <f>LARGE($D$5:$D$51,ROWS($H$22:H26))</f>
        <v>0.81244196843082639</v>
      </c>
    </row>
    <row r="28" spans="1:8">
      <c r="A28" t="str">
        <v>Big Data (Hadoop / Spark)</v>
      </c>
      <c r="B28" s="9">
        <v>5.38</v>
      </c>
      <c r="C28" s="40">
        <v>57.5</v>
      </c>
      <c r="D28" s="38">
        <f t="shared" si="0"/>
        <v>9.3565217391304342E-2</v>
      </c>
      <c r="E28" s="9">
        <f t="shared" si="1"/>
        <v>-52.12</v>
      </c>
      <c r="G28" t="str">
        <f>INDEX($A$5:$A$51,MATCH(LARGE($D$5:$D$51,ROWS($G$22:G27)),$D$5:$D$51,0))</f>
        <v>SQL</v>
      </c>
      <c r="H28" s="38">
        <f>LARGE($D$5:$D$51,ROWS($H$22:H27))</f>
        <v>0.75357950263752826</v>
      </c>
    </row>
    <row r="29" spans="1:8">
      <c r="A29" t="str">
        <v>Artificial Intelligence</v>
      </c>
      <c r="B29" s="9">
        <v>3.08</v>
      </c>
      <c r="C29" s="40">
        <v>76.25</v>
      </c>
      <c r="D29" s="38">
        <f t="shared" si="0"/>
        <v>4.0393442622950818E-2</v>
      </c>
      <c r="E29" s="9">
        <f t="shared" si="1"/>
        <v>-73.17</v>
      </c>
      <c r="G29" t="str">
        <f>INDEX($A$5:$A$51,MATCH(LARGE($D$5:$D$51,ROWS($G$22:G28)),$D$5:$D$51,0))</f>
        <v>Data Visualization</v>
      </c>
      <c r="H29" s="38">
        <f>LARGE($D$5:$D$51,ROWS($H$22:H28))</f>
        <v>0.68571428571428572</v>
      </c>
    </row>
    <row r="30" spans="1:8">
      <c r="A30" t="str">
        <v>Data Preprocessing &amp; Augmentation</v>
      </c>
      <c r="B30" s="9">
        <v>3.08</v>
      </c>
      <c r="C30" s="40">
        <v>23.75</v>
      </c>
      <c r="D30" s="38">
        <f t="shared" si="0"/>
        <v>0.12968421052631579</v>
      </c>
      <c r="E30" s="9">
        <f t="shared" si="1"/>
        <v>-20.67</v>
      </c>
      <c r="G30" t="str">
        <f>INDEX($A$5:$A$51,MATCH(LARGE($D$5:$D$51,ROWS($G$22:G29)),$D$5:$D$51,0))</f>
        <v>Tableau</v>
      </c>
      <c r="H30" s="38">
        <f>LARGE($D$5:$D$51,ROWS($H$22:H29))</f>
        <v>0.61599999999999999</v>
      </c>
    </row>
    <row r="31" spans="1:8">
      <c r="A31" t="str">
        <v>Model Evaluation</v>
      </c>
      <c r="B31" s="9">
        <v>3.08</v>
      </c>
      <c r="C31" s="40">
        <v>93.75</v>
      </c>
      <c r="D31" s="38">
        <f t="shared" si="0"/>
        <v>3.2853333333333332E-2</v>
      </c>
      <c r="E31" s="9">
        <f t="shared" si="1"/>
        <v>-90.67</v>
      </c>
      <c r="G31" t="str">
        <f>INDEX($A$5:$A$51,MATCH(LARGE($D$5:$D$51,ROWS($G$22:G30)),$D$5:$D$51,0))</f>
        <v>Exploratory Data Analysis (EDA)</v>
      </c>
      <c r="H31" s="38">
        <f>LARGE($D$5:$D$51,ROWS($H$22:H30))</f>
        <v>0.61499999999999999</v>
      </c>
    </row>
    <row r="32" spans="1:8">
      <c r="A32" t="str">
        <v>Predictive Modeling</v>
      </c>
      <c r="B32" s="9">
        <v>3.08</v>
      </c>
      <c r="C32" s="40">
        <v>46.25</v>
      </c>
      <c r="D32" s="38">
        <f t="shared" si="0"/>
        <v>6.6594594594594603E-2</v>
      </c>
      <c r="E32" s="9">
        <f t="shared" si="1"/>
        <v>-43.17</v>
      </c>
      <c r="G32" t="str">
        <f>INDEX($A$5:$A$51,MATCH(LARGE($D$5:$D$51,ROWS($G$22:G31)),$D$5:$D$51,0))</f>
        <v>Data Pipelines &amp; Automation</v>
      </c>
      <c r="H32" s="38">
        <f>LARGE($D$5:$D$51,ROWS($H$22:H31))</f>
        <v>0.59101654846335694</v>
      </c>
    </row>
    <row r="33" spans="1:5">
      <c r="A33" t="str">
        <v>Statistical Modeling</v>
      </c>
      <c r="B33" s="9">
        <v>3.08</v>
      </c>
      <c r="C33" s="40">
        <v>100</v>
      </c>
      <c r="D33" s="38">
        <f t="shared" si="0"/>
        <v>3.0800000000000001E-2</v>
      </c>
      <c r="E33" s="9">
        <f t="shared" si="1"/>
        <v>-96.92</v>
      </c>
    </row>
    <row r="34" spans="1:5">
      <c r="A34" t="str">
        <v>Supervised Learning</v>
      </c>
      <c r="B34" s="9">
        <v>3.08</v>
      </c>
      <c r="C34" s="40">
        <v>33.75</v>
      </c>
      <c r="D34" s="38">
        <f t="shared" si="0"/>
        <v>9.1259259259259262E-2</v>
      </c>
      <c r="E34" s="9">
        <f t="shared" si="1"/>
        <v>-30.67</v>
      </c>
    </row>
    <row r="35" spans="1:5">
      <c r="A35" t="str">
        <v>Tableau</v>
      </c>
      <c r="B35" s="9">
        <v>3.08</v>
      </c>
      <c r="C35" s="40">
        <v>5</v>
      </c>
      <c r="D35" s="38">
        <f t="shared" si="0"/>
        <v>0.61599999999999999</v>
      </c>
      <c r="E35" s="9">
        <f t="shared" si="1"/>
        <v>-1.92</v>
      </c>
    </row>
    <row r="36" spans="1:5">
      <c r="A36" t="str">
        <v>Customer Segmentation</v>
      </c>
      <c r="B36" s="9">
        <v>2.31</v>
      </c>
      <c r="C36" s="40">
        <v>27.5</v>
      </c>
      <c r="D36" s="38">
        <f t="shared" si="0"/>
        <v>8.4000000000000005E-2</v>
      </c>
      <c r="E36" s="9">
        <f t="shared" si="1"/>
        <v>-25.19</v>
      </c>
    </row>
    <row r="37" spans="1:5">
      <c r="A37" t="str">
        <v>NoSQL Databases</v>
      </c>
      <c r="B37" s="9">
        <v>2.31</v>
      </c>
      <c r="C37" s="40">
        <v>12.5</v>
      </c>
      <c r="D37" s="38">
        <f t="shared" si="0"/>
        <v>0.18479999999999999</v>
      </c>
      <c r="E37" s="9">
        <f t="shared" si="1"/>
        <v>-10.19</v>
      </c>
    </row>
    <row r="38" spans="1:5">
      <c r="A38" t="str">
        <v>React / Frontend Frameworks</v>
      </c>
      <c r="B38" s="9">
        <v>2.31</v>
      </c>
      <c r="C38" s="40">
        <v>6.25</v>
      </c>
      <c r="D38" s="38">
        <f t="shared" si="0"/>
        <v>0.36959999999999998</v>
      </c>
      <c r="E38" s="9">
        <f t="shared" si="1"/>
        <v>-3.94</v>
      </c>
    </row>
    <row r="39" spans="1:5">
      <c r="A39" t="str">
        <v>SQL / Relational Databases</v>
      </c>
      <c r="B39" s="9">
        <v>2.31</v>
      </c>
      <c r="C39" s="40">
        <v>61.25</v>
      </c>
      <c r="D39" s="38">
        <f t="shared" si="0"/>
        <v>3.7714285714285714E-2</v>
      </c>
      <c r="E39" s="9">
        <f t="shared" si="1"/>
        <v>-58.94</v>
      </c>
    </row>
    <row r="40" spans="1:5">
      <c r="A40" t="str">
        <v>Algorithms &amp; Data Structures</v>
      </c>
      <c r="B40" s="9">
        <v>1.54</v>
      </c>
      <c r="C40" s="40">
        <v>90</v>
      </c>
      <c r="D40" s="38">
        <f t="shared" si="0"/>
        <v>1.7111111111111112E-2</v>
      </c>
      <c r="E40" s="9">
        <f t="shared" si="1"/>
        <v>-88.46</v>
      </c>
    </row>
    <row r="41" spans="1:5">
      <c r="A41" t="str">
        <v>Bayesian Methods / Causal Inference</v>
      </c>
      <c r="B41" s="9">
        <v>1.54</v>
      </c>
      <c r="C41" s="40">
        <v>6.25</v>
      </c>
      <c r="D41" s="38">
        <f t="shared" si="0"/>
        <v>0.24640000000000001</v>
      </c>
      <c r="E41" s="9">
        <f t="shared" si="1"/>
        <v>-4.71</v>
      </c>
    </row>
    <row r="42" spans="1:5">
      <c r="A42" t="str">
        <v>C / C++</v>
      </c>
      <c r="B42" s="9">
        <v>1.54</v>
      </c>
      <c r="C42" s="40">
        <v>3.75</v>
      </c>
      <c r="D42" s="38">
        <f t="shared" si="0"/>
        <v>0.41066666666666668</v>
      </c>
      <c r="E42" s="9">
        <f t="shared" si="1"/>
        <v>-2.21</v>
      </c>
    </row>
    <row r="43" spans="1:5">
      <c r="A43" t="str">
        <v>Causal Inference</v>
      </c>
      <c r="B43" s="9">
        <v>1.54</v>
      </c>
      <c r="C43" s="40">
        <v>100</v>
      </c>
      <c r="D43" s="38">
        <f t="shared" si="0"/>
        <v>1.54E-2</v>
      </c>
      <c r="E43" s="9">
        <f t="shared" si="1"/>
        <v>-98.46</v>
      </c>
    </row>
    <row r="44" spans="1:5">
      <c r="A44" t="str">
        <v>Cloud Data Warehousing (BigQuery / Redshift)</v>
      </c>
      <c r="B44" s="9">
        <v>1.54</v>
      </c>
      <c r="C44" s="40">
        <v>17.5</v>
      </c>
      <c r="D44" s="38">
        <f t="shared" si="0"/>
        <v>8.8000000000000009E-2</v>
      </c>
      <c r="E44" s="9">
        <f t="shared" si="1"/>
        <v>-15.96</v>
      </c>
    </row>
    <row r="45" spans="1:5">
      <c r="A45" t="str">
        <v>Computer Vision</v>
      </c>
      <c r="B45" s="9">
        <v>1.54</v>
      </c>
      <c r="C45" s="40">
        <v>31.25</v>
      </c>
      <c r="D45" s="38">
        <f t="shared" si="0"/>
        <v>4.9280000000000004E-2</v>
      </c>
      <c r="E45" s="9">
        <f t="shared" si="1"/>
        <v>-29.71</v>
      </c>
    </row>
    <row r="46" spans="1:5">
      <c r="A46" t="str">
        <v>Computer Vision / Image Processing</v>
      </c>
      <c r="B46" s="9">
        <v>1.54</v>
      </c>
      <c r="C46" s="40">
        <v>3.75</v>
      </c>
      <c r="D46" s="38">
        <f t="shared" si="0"/>
        <v>0.41066666666666668</v>
      </c>
      <c r="E46" s="9">
        <f t="shared" si="1"/>
        <v>-2.21</v>
      </c>
    </row>
    <row r="47" spans="1:5">
      <c r="A47" t="str">
        <v>Data Mining</v>
      </c>
      <c r="B47" s="40">
        <v>1.54</v>
      </c>
      <c r="C47" s="40">
        <v>76.25</v>
      </c>
      <c r="D47" s="38">
        <f t="shared" si="0"/>
        <v>2.0196721311475409E-2</v>
      </c>
      <c r="E47" s="9">
        <f t="shared" si="1"/>
        <v>-74.709999999999994</v>
      </c>
    </row>
    <row r="48" spans="1:5">
      <c r="A48" t="str">
        <v>Large-Scale Data Processing / Big Data</v>
      </c>
      <c r="B48" s="40">
        <v>1.54</v>
      </c>
      <c r="C48" s="40">
        <v>57.5</v>
      </c>
      <c r="D48" s="38">
        <f t="shared" si="0"/>
        <v>2.6782608695652174E-2</v>
      </c>
      <c r="E48" s="9">
        <f t="shared" si="1"/>
        <v>-55.96</v>
      </c>
    </row>
    <row r="49" spans="1:5">
      <c r="A49" t="str">
        <v>Model Evaluation &amp; Optimization</v>
      </c>
      <c r="B49" s="40">
        <v>1.54</v>
      </c>
      <c r="C49" s="40">
        <v>16.25</v>
      </c>
      <c r="D49" s="38">
        <f t="shared" si="0"/>
        <v>9.4769230769230772E-2</v>
      </c>
      <c r="E49" s="9">
        <f t="shared" si="1"/>
        <v>-14.71</v>
      </c>
    </row>
    <row r="50" spans="1:5">
      <c r="A50" t="str">
        <v>Predictive Analytics</v>
      </c>
      <c r="B50" s="40">
        <v>1.54</v>
      </c>
      <c r="C50" s="40">
        <v>70</v>
      </c>
      <c r="D50" s="38">
        <f t="shared" si="0"/>
        <v>2.2000000000000002E-2</v>
      </c>
      <c r="E50" s="9">
        <f t="shared" si="1"/>
        <v>-68.459999999999994</v>
      </c>
    </row>
    <row r="51" spans="1:5">
      <c r="A51" t="str">
        <v>AI Safety &amp; Responsible AI</v>
      </c>
      <c r="B51" s="40">
        <v>0.77</v>
      </c>
      <c r="C51" s="40">
        <v>11.25</v>
      </c>
      <c r="D51" s="38">
        <f t="shared" si="0"/>
        <v>6.8444444444444447E-2</v>
      </c>
      <c r="E51" s="9">
        <f t="shared" si="1"/>
        <v>-10.48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BBAE-63EB-4EA6-89EC-6D574A516C2D}">
  <dimension ref="A1:U120"/>
  <sheetViews>
    <sheetView workbookViewId="0">
      <selection activeCell="I87" sqref="I87"/>
    </sheetView>
  </sheetViews>
  <sheetFormatPr defaultRowHeight="15"/>
  <cols>
    <col min="1" max="1" width="37" customWidth="1"/>
    <col min="2" max="2" width="22.5703125" customWidth="1"/>
    <col min="3" max="3" width="24.85546875" customWidth="1"/>
    <col min="4" max="4" width="15.42578125" customWidth="1"/>
    <col min="5" max="5" width="14.5703125" customWidth="1"/>
    <col min="6" max="6" width="20.28515625" customWidth="1"/>
    <col min="8" max="8" width="24.7109375" customWidth="1"/>
    <col min="9" max="9" width="32.28515625" customWidth="1"/>
    <col min="10" max="10" width="17.42578125" customWidth="1"/>
  </cols>
  <sheetData>
    <row r="1" spans="1:10">
      <c r="A1" s="50" t="s">
        <v>346</v>
      </c>
      <c r="B1" s="50"/>
      <c r="C1" s="50"/>
      <c r="D1" s="50"/>
      <c r="E1" s="50"/>
    </row>
    <row r="2" spans="1:10">
      <c r="A2" s="50" t="s">
        <v>347</v>
      </c>
      <c r="B2" s="50"/>
      <c r="C2" s="50"/>
      <c r="D2" s="50"/>
      <c r="E2" s="50"/>
    </row>
    <row r="3" spans="1:10">
      <c r="A3" s="13"/>
      <c r="D3" s="39"/>
    </row>
    <row r="4" spans="1:10">
      <c r="A4" s="39" t="s">
        <v>310</v>
      </c>
      <c r="B4" s="39" t="s">
        <v>313</v>
      </c>
      <c r="C4" s="39" t="s">
        <v>316</v>
      </c>
      <c r="D4" s="39" t="s">
        <v>348</v>
      </c>
      <c r="E4" s="39" t="s">
        <v>349</v>
      </c>
      <c r="F4" s="41" t="s">
        <v>350</v>
      </c>
    </row>
    <row r="5" spans="1:10">
      <c r="A5" s="13" t="str">
        <f>'Alignment Analysis'!A5</f>
        <v>Python</v>
      </c>
      <c r="B5" s="9">
        <f>'Alignment Analysis'!B5</f>
        <v>90</v>
      </c>
      <c r="C5" s="9">
        <f>'Alignment Analysis'!C5</f>
        <v>98.75</v>
      </c>
      <c r="D5" s="9">
        <f>B5-C5</f>
        <v>-8.75</v>
      </c>
      <c r="E5" s="9">
        <f>ABS(D5)</f>
        <v>8.75</v>
      </c>
      <c r="F5" s="40" t="str">
        <f>IF(D5&gt;0,"Industry Higher",IF(D5&lt;0,"Curriculum Higher","Equal"))</f>
        <v>Curriculum Higher</v>
      </c>
    </row>
    <row r="6" spans="1:10">
      <c r="A6" s="13" t="str">
        <f>'Alignment Analysis'!A6</f>
        <v>Machine Learning</v>
      </c>
      <c r="B6" s="9">
        <f>'Alignment Analysis'!B6</f>
        <v>82.31</v>
      </c>
      <c r="C6" s="9">
        <f>'Alignment Analysis'!C6</f>
        <v>93.75</v>
      </c>
      <c r="D6" s="9">
        <f t="shared" ref="D6:D51" si="0">B6-C6</f>
        <v>-11.439999999999998</v>
      </c>
      <c r="E6" s="9">
        <f t="shared" ref="E6:E51" si="1">ABS(D6)</f>
        <v>11.439999999999998</v>
      </c>
      <c r="F6" s="40" t="str">
        <f t="shared" ref="F6:F51" si="2">IF(D6&gt;0,"Industry Higher",IF(D6&lt;0,"Curriculum Higher","Equal"))</f>
        <v>Curriculum Higher</v>
      </c>
    </row>
    <row r="7" spans="1:10">
      <c r="A7" s="13" t="str">
        <f>'Alignment Analysis'!A7</f>
        <v>SQL</v>
      </c>
      <c r="B7" s="9">
        <f>'Alignment Analysis'!B7</f>
        <v>53.08</v>
      </c>
      <c r="C7" s="9">
        <f>'Alignment Analysis'!C7</f>
        <v>40</v>
      </c>
      <c r="D7" s="9">
        <f t="shared" si="0"/>
        <v>13.079999999999998</v>
      </c>
      <c r="E7" s="9">
        <f t="shared" si="1"/>
        <v>13.079999999999998</v>
      </c>
      <c r="F7" s="40" t="str">
        <f t="shared" si="2"/>
        <v>Industry Higher</v>
      </c>
    </row>
    <row r="8" spans="1:10">
      <c r="A8" s="13" t="str">
        <f>'Alignment Analysis'!A8</f>
        <v>Cloud Platforms (AWS / Azure / GCP)</v>
      </c>
      <c r="B8" s="9">
        <f>'Alignment Analysis'!B8</f>
        <v>48.46</v>
      </c>
      <c r="C8" s="9">
        <f>'Alignment Analysis'!C8</f>
        <v>16.25</v>
      </c>
      <c r="D8" s="9">
        <f t="shared" si="0"/>
        <v>32.21</v>
      </c>
      <c r="E8" s="9">
        <f t="shared" si="1"/>
        <v>32.21</v>
      </c>
      <c r="F8" s="40" t="str">
        <f t="shared" si="2"/>
        <v>Industry Higher</v>
      </c>
    </row>
    <row r="9" spans="1:10">
      <c r="A9" s="13" t="str">
        <f>'Alignment Analysis'!A9</f>
        <v>Scikit-learn / NumPy / Pandas</v>
      </c>
      <c r="B9" s="9">
        <f>'Alignment Analysis'!B9</f>
        <v>47.69</v>
      </c>
      <c r="C9" s="9">
        <f>'Alignment Analysis'!C9</f>
        <v>93.75</v>
      </c>
      <c r="D9" s="9">
        <f t="shared" si="0"/>
        <v>-46.06</v>
      </c>
      <c r="E9" s="9">
        <f t="shared" si="1"/>
        <v>46.06</v>
      </c>
      <c r="F9" s="40" t="str">
        <f t="shared" si="2"/>
        <v>Curriculum Higher</v>
      </c>
      <c r="I9" s="41" t="s">
        <v>351</v>
      </c>
    </row>
    <row r="10" spans="1:10">
      <c r="A10" s="13" t="str">
        <f>'Alignment Analysis'!A10</f>
        <v>Statistical Analysis</v>
      </c>
      <c r="B10" s="9">
        <f>'Alignment Analysis'!B10</f>
        <v>47.69</v>
      </c>
      <c r="C10" s="9">
        <f>'Alignment Analysis'!C10</f>
        <v>100</v>
      </c>
      <c r="D10" s="9">
        <f t="shared" si="0"/>
        <v>-52.31</v>
      </c>
      <c r="E10" s="9">
        <f t="shared" si="1"/>
        <v>52.31</v>
      </c>
      <c r="F10" s="40" t="str">
        <f t="shared" si="2"/>
        <v>Curriculum Higher</v>
      </c>
      <c r="H10" s="3"/>
      <c r="I10" s="4"/>
      <c r="J10" s="4"/>
    </row>
    <row r="11" spans="1:10">
      <c r="A11" s="13" t="str">
        <f>'Alignment Analysis'!A11</f>
        <v>Large Language Models (LLMs)</v>
      </c>
      <c r="B11" s="9">
        <f>'Alignment Analysis'!B11</f>
        <v>36.92</v>
      </c>
      <c r="C11" s="9">
        <f>'Alignment Analysis'!C11</f>
        <v>70</v>
      </c>
      <c r="D11" s="9">
        <f t="shared" si="0"/>
        <v>-33.08</v>
      </c>
      <c r="E11" s="9">
        <f t="shared" si="1"/>
        <v>33.08</v>
      </c>
      <c r="F11" s="40" t="str">
        <f t="shared" si="2"/>
        <v>Curriculum Higher</v>
      </c>
      <c r="H11" s="3" t="s">
        <v>352</v>
      </c>
      <c r="I11" s="4" t="s">
        <v>1</v>
      </c>
      <c r="J11" s="4" t="s">
        <v>353</v>
      </c>
    </row>
    <row r="12" spans="1:10">
      <c r="A12" s="13" t="str">
        <f>'Alignment Analysis'!A12</f>
        <v>Generative AI</v>
      </c>
      <c r="B12" s="9">
        <f>'Alignment Analysis'!B12</f>
        <v>34.619999999999997</v>
      </c>
      <c r="C12" s="9">
        <f>'Alignment Analysis'!C12</f>
        <v>10</v>
      </c>
      <c r="D12" s="9">
        <f t="shared" si="0"/>
        <v>24.619999999999997</v>
      </c>
      <c r="E12" s="9">
        <f t="shared" si="1"/>
        <v>24.619999999999997</v>
      </c>
      <c r="F12" s="40" t="str">
        <f t="shared" si="2"/>
        <v>Industry Higher</v>
      </c>
      <c r="H12" t="s">
        <v>354</v>
      </c>
      <c r="I12" t="str">
        <f>INDEX(A5:A51,MATCH(MAX(D5:D51),D5:D51,0))</f>
        <v>Cloud Platforms (AWS / Azure / GCP)</v>
      </c>
      <c r="J12" s="9">
        <f>MAX(D5:D51)</f>
        <v>32.21</v>
      </c>
    </row>
    <row r="13" spans="1:10" ht="15.75" customHeight="1">
      <c r="A13" s="13" t="str">
        <f>'Alignment Analysis'!A13</f>
        <v>PyTorch</v>
      </c>
      <c r="B13" s="9">
        <f>'Alignment Analysis'!B13</f>
        <v>33.85</v>
      </c>
      <c r="C13" s="9">
        <f>'Alignment Analysis'!C13</f>
        <v>78.75</v>
      </c>
      <c r="D13" s="9">
        <f t="shared" si="0"/>
        <v>-44.9</v>
      </c>
      <c r="E13" s="9">
        <f t="shared" si="1"/>
        <v>44.9</v>
      </c>
      <c r="F13" s="40" t="str">
        <f t="shared" si="2"/>
        <v>Curriculum Higher</v>
      </c>
      <c r="H13" t="s">
        <v>355</v>
      </c>
      <c r="I13" s="17" t="str">
        <f>INDEX(A5:A51,MATCH(MIN(D5:D51),D5:D51,0))</f>
        <v>Causal Inference</v>
      </c>
      <c r="J13" s="9">
        <f>MIN(D5:D51)</f>
        <v>-98.46</v>
      </c>
    </row>
    <row r="14" spans="1:10" ht="16.5" customHeight="1">
      <c r="A14" s="13" t="str">
        <f>'Alignment Analysis'!A14</f>
        <v>TensorFlow / Keras</v>
      </c>
      <c r="B14" s="9">
        <f>'Alignment Analysis'!B14</f>
        <v>32.31</v>
      </c>
      <c r="C14" s="9">
        <f>'Alignment Analysis'!C14</f>
        <v>78.75</v>
      </c>
      <c r="D14" s="9">
        <f t="shared" si="0"/>
        <v>-46.44</v>
      </c>
      <c r="E14" s="9">
        <f t="shared" si="1"/>
        <v>46.44</v>
      </c>
      <c r="F14" s="40" t="str">
        <f t="shared" si="2"/>
        <v>Curriculum Higher</v>
      </c>
      <c r="H14" t="s">
        <v>356</v>
      </c>
      <c r="I14" s="17" t="str">
        <f>INDEX(A5:A51,MATCH(MAX(E5:E51),E5:E51,0))</f>
        <v>Causal Inference</v>
      </c>
      <c r="J14" s="9">
        <f>MAX(E5:E51)</f>
        <v>98.46</v>
      </c>
    </row>
    <row r="15" spans="1:10">
      <c r="A15" s="13" t="str">
        <f>'Alignment Analysis'!A15</f>
        <v>Data Visualization</v>
      </c>
      <c r="B15" s="9">
        <f>'Alignment Analysis'!B15</f>
        <v>30</v>
      </c>
      <c r="C15" s="9">
        <f>'Alignment Analysis'!C15</f>
        <v>43.75</v>
      </c>
      <c r="D15" s="9">
        <f t="shared" si="0"/>
        <v>-13.75</v>
      </c>
      <c r="E15" s="9">
        <f t="shared" si="1"/>
        <v>13.75</v>
      </c>
      <c r="F15" s="40" t="str">
        <f t="shared" si="2"/>
        <v>Curriculum Higher</v>
      </c>
    </row>
    <row r="16" spans="1:10">
      <c r="A16" s="13" t="str">
        <f>'Alignment Analysis'!A16</f>
        <v>Natural Language Processing (NLP)</v>
      </c>
      <c r="B16" s="9">
        <f>'Alignment Analysis'!B16</f>
        <v>30</v>
      </c>
      <c r="C16" s="9">
        <f>'Alignment Analysis'!C16</f>
        <v>70</v>
      </c>
      <c r="D16" s="9">
        <f t="shared" si="0"/>
        <v>-40</v>
      </c>
      <c r="E16" s="9">
        <f t="shared" si="1"/>
        <v>40</v>
      </c>
      <c r="F16" s="40" t="str">
        <f t="shared" si="2"/>
        <v>Curriculum Higher</v>
      </c>
    </row>
    <row r="17" spans="1:6">
      <c r="A17" s="13" t="str">
        <f>'Alignment Analysis'!A17</f>
        <v>Deep Learning</v>
      </c>
      <c r="B17" s="9">
        <f>'Alignment Analysis'!B17</f>
        <v>29.23</v>
      </c>
      <c r="C17" s="9">
        <f>'Alignment Analysis'!C17</f>
        <v>78.75</v>
      </c>
      <c r="D17" s="9">
        <f t="shared" si="0"/>
        <v>-49.519999999999996</v>
      </c>
      <c r="E17" s="9">
        <f t="shared" si="1"/>
        <v>49.519999999999996</v>
      </c>
      <c r="F17" s="40" t="str">
        <f t="shared" si="2"/>
        <v>Curriculum Higher</v>
      </c>
    </row>
    <row r="18" spans="1:6">
      <c r="A18" s="13" t="str">
        <f>'Alignment Analysis'!A18</f>
        <v>Feature Engineering</v>
      </c>
      <c r="B18" s="9">
        <f>'Alignment Analysis'!B18</f>
        <v>23.85</v>
      </c>
      <c r="C18" s="9">
        <f>'Alignment Analysis'!C18</f>
        <v>23.75</v>
      </c>
      <c r="D18" s="9">
        <f t="shared" si="0"/>
        <v>0.10000000000000142</v>
      </c>
      <c r="E18" s="9">
        <f t="shared" si="1"/>
        <v>0.10000000000000142</v>
      </c>
      <c r="F18" s="40" t="str">
        <f t="shared" si="2"/>
        <v>Industry Higher</v>
      </c>
    </row>
    <row r="19" spans="1:6">
      <c r="A19" s="13" t="str">
        <f>'Alignment Analysis'!A19</f>
        <v>Data Preprocessing &amp; Cleaning</v>
      </c>
      <c r="B19" s="9">
        <f>'Alignment Analysis'!B19</f>
        <v>13.85</v>
      </c>
      <c r="C19" s="9">
        <f>'Alignment Analysis'!C19</f>
        <v>23.75</v>
      </c>
      <c r="D19" s="9">
        <f t="shared" si="0"/>
        <v>-9.9</v>
      </c>
      <c r="E19" s="9">
        <f t="shared" si="1"/>
        <v>9.9</v>
      </c>
      <c r="F19" s="40" t="str">
        <f t="shared" si="2"/>
        <v>Curriculum Higher</v>
      </c>
    </row>
    <row r="20" spans="1:6">
      <c r="A20" s="13" t="str">
        <f>'Alignment Analysis'!A20</f>
        <v>Time Series Forecasting</v>
      </c>
      <c r="B20" s="9">
        <f>'Alignment Analysis'!B20</f>
        <v>11.54</v>
      </c>
      <c r="C20" s="9">
        <f>'Alignment Analysis'!C20</f>
        <v>22.5</v>
      </c>
      <c r="D20" s="9">
        <f t="shared" si="0"/>
        <v>-10.96</v>
      </c>
      <c r="E20" s="9">
        <f t="shared" si="1"/>
        <v>10.96</v>
      </c>
      <c r="F20" s="40" t="str">
        <f t="shared" si="2"/>
        <v>Curriculum Higher</v>
      </c>
    </row>
    <row r="21" spans="1:6">
      <c r="A21" s="13" t="str">
        <f>'Alignment Analysis'!A21</f>
        <v>Data Visualization &amp; Dashboards</v>
      </c>
      <c r="B21" s="9">
        <f>'Alignment Analysis'!B21</f>
        <v>10.77</v>
      </c>
      <c r="C21" s="9">
        <f>'Alignment Analysis'!C21</f>
        <v>8.75</v>
      </c>
      <c r="D21" s="9">
        <f t="shared" si="0"/>
        <v>2.0199999999999996</v>
      </c>
      <c r="E21" s="9">
        <f t="shared" si="1"/>
        <v>2.0199999999999996</v>
      </c>
      <c r="F21" s="40" t="str">
        <f t="shared" si="2"/>
        <v>Industry Higher</v>
      </c>
    </row>
    <row r="22" spans="1:6">
      <c r="A22" s="13" t="str">
        <f>'Alignment Analysis'!A22</f>
        <v>Data Pipelines &amp; Automation</v>
      </c>
      <c r="B22" s="9">
        <f>'Alignment Analysis'!B22</f>
        <v>8.4600000000000009</v>
      </c>
      <c r="C22" s="9">
        <f>'Alignment Analysis'!C22</f>
        <v>5</v>
      </c>
      <c r="D22" s="9">
        <f t="shared" si="0"/>
        <v>3.4600000000000009</v>
      </c>
      <c r="E22" s="9">
        <f t="shared" si="1"/>
        <v>3.4600000000000009</v>
      </c>
      <c r="F22" s="40" t="str">
        <f t="shared" si="2"/>
        <v>Industry Higher</v>
      </c>
    </row>
    <row r="23" spans="1:6">
      <c r="A23" s="13" t="str">
        <f>'Alignment Analysis'!A23</f>
        <v>Hypothesis Testing</v>
      </c>
      <c r="B23" s="9">
        <f>'Alignment Analysis'!B23</f>
        <v>8.4600000000000009</v>
      </c>
      <c r="C23" s="9">
        <f>'Alignment Analysis'!C23</f>
        <v>100</v>
      </c>
      <c r="D23" s="9">
        <f t="shared" si="0"/>
        <v>-91.539999999999992</v>
      </c>
      <c r="E23" s="9">
        <f t="shared" si="1"/>
        <v>91.539999999999992</v>
      </c>
      <c r="F23" s="40" t="str">
        <f t="shared" si="2"/>
        <v>Curriculum Higher</v>
      </c>
    </row>
    <row r="24" spans="1:6">
      <c r="A24" s="13" t="str">
        <f>'Alignment Analysis'!A24</f>
        <v>R Programming</v>
      </c>
      <c r="B24" s="9">
        <f>'Alignment Analysis'!B24</f>
        <v>7.69</v>
      </c>
      <c r="C24" s="9">
        <f>'Alignment Analysis'!C24</f>
        <v>28.75</v>
      </c>
      <c r="D24" s="9">
        <f t="shared" si="0"/>
        <v>-21.06</v>
      </c>
      <c r="E24" s="9">
        <f t="shared" si="1"/>
        <v>21.06</v>
      </c>
      <c r="F24" s="40" t="str">
        <f t="shared" si="2"/>
        <v>Curriculum Higher</v>
      </c>
    </row>
    <row r="25" spans="1:6">
      <c r="A25" s="13" t="str">
        <f>'Alignment Analysis'!A25</f>
        <v>Anomaly Detection</v>
      </c>
      <c r="B25" s="9">
        <f>'Alignment Analysis'!B25</f>
        <v>6.15</v>
      </c>
      <c r="C25" s="9">
        <f>'Alignment Analysis'!C25</f>
        <v>93.75</v>
      </c>
      <c r="D25" s="9">
        <f t="shared" si="0"/>
        <v>-87.6</v>
      </c>
      <c r="E25" s="9">
        <f t="shared" si="1"/>
        <v>87.6</v>
      </c>
      <c r="F25" s="40" t="str">
        <f t="shared" si="2"/>
        <v>Curriculum Higher</v>
      </c>
    </row>
    <row r="26" spans="1:6">
      <c r="A26" s="13" t="str">
        <f>'Alignment Analysis'!A26</f>
        <v>ETL / ELT Pipelines &amp; Data Pipelines</v>
      </c>
      <c r="B26" s="9">
        <f>'Alignment Analysis'!B26</f>
        <v>6.15</v>
      </c>
      <c r="C26" s="9">
        <f>'Alignment Analysis'!C26</f>
        <v>5</v>
      </c>
      <c r="D26" s="9">
        <f t="shared" si="0"/>
        <v>1.1500000000000004</v>
      </c>
      <c r="E26" s="9">
        <f t="shared" si="1"/>
        <v>1.1500000000000004</v>
      </c>
      <c r="F26" s="40" t="str">
        <f t="shared" si="2"/>
        <v>Industry Higher</v>
      </c>
    </row>
    <row r="27" spans="1:6">
      <c r="A27" s="13" t="str">
        <f>'Alignment Analysis'!A27</f>
        <v>Exploratory Data Analysis (EDA)</v>
      </c>
      <c r="B27" s="9">
        <f>'Alignment Analysis'!B27</f>
        <v>6.15</v>
      </c>
      <c r="C27" s="9">
        <f>'Alignment Analysis'!C27</f>
        <v>10</v>
      </c>
      <c r="D27" s="9">
        <f t="shared" si="0"/>
        <v>-3.8499999999999996</v>
      </c>
      <c r="E27" s="9">
        <f t="shared" si="1"/>
        <v>3.8499999999999996</v>
      </c>
      <c r="F27" s="40" t="str">
        <f t="shared" si="2"/>
        <v>Curriculum Higher</v>
      </c>
    </row>
    <row r="28" spans="1:6">
      <c r="A28" s="13" t="str">
        <f>'Alignment Analysis'!A28</f>
        <v>Big Data (Hadoop / Spark)</v>
      </c>
      <c r="B28" s="9">
        <f>'Alignment Analysis'!B28</f>
        <v>5.38</v>
      </c>
      <c r="C28" s="9">
        <f>'Alignment Analysis'!C28</f>
        <v>57.5</v>
      </c>
      <c r="D28" s="9">
        <f t="shared" si="0"/>
        <v>-52.12</v>
      </c>
      <c r="E28" s="9">
        <f t="shared" si="1"/>
        <v>52.12</v>
      </c>
      <c r="F28" s="40" t="str">
        <f t="shared" si="2"/>
        <v>Curriculum Higher</v>
      </c>
    </row>
    <row r="29" spans="1:6">
      <c r="A29" s="13" t="str">
        <f>'Alignment Analysis'!A29</f>
        <v>Artificial Intelligence</v>
      </c>
      <c r="B29" s="9">
        <f>'Alignment Analysis'!B29</f>
        <v>3.08</v>
      </c>
      <c r="C29" s="9">
        <f>'Alignment Analysis'!C29</f>
        <v>76.25</v>
      </c>
      <c r="D29" s="9">
        <f t="shared" si="0"/>
        <v>-73.17</v>
      </c>
      <c r="E29" s="9">
        <f t="shared" si="1"/>
        <v>73.17</v>
      </c>
      <c r="F29" s="40" t="str">
        <f t="shared" si="2"/>
        <v>Curriculum Higher</v>
      </c>
    </row>
    <row r="30" spans="1:6">
      <c r="A30" s="13" t="str">
        <f>'Alignment Analysis'!A30</f>
        <v>Data Preprocessing &amp; Augmentation</v>
      </c>
      <c r="B30" s="9">
        <f>'Alignment Analysis'!B30</f>
        <v>3.08</v>
      </c>
      <c r="C30" s="9">
        <f>'Alignment Analysis'!C30</f>
        <v>23.75</v>
      </c>
      <c r="D30" s="9">
        <f t="shared" si="0"/>
        <v>-20.67</v>
      </c>
      <c r="E30" s="9">
        <f t="shared" si="1"/>
        <v>20.67</v>
      </c>
      <c r="F30" s="40" t="str">
        <f t="shared" si="2"/>
        <v>Curriculum Higher</v>
      </c>
    </row>
    <row r="31" spans="1:6">
      <c r="A31" s="13" t="str">
        <f>'Alignment Analysis'!A31</f>
        <v>Model Evaluation</v>
      </c>
      <c r="B31" s="9">
        <f>'Alignment Analysis'!B31</f>
        <v>3.08</v>
      </c>
      <c r="C31" s="9">
        <f>'Alignment Analysis'!C31</f>
        <v>93.75</v>
      </c>
      <c r="D31" s="9">
        <f t="shared" si="0"/>
        <v>-90.67</v>
      </c>
      <c r="E31" s="9">
        <f t="shared" si="1"/>
        <v>90.67</v>
      </c>
      <c r="F31" s="40" t="str">
        <f t="shared" si="2"/>
        <v>Curriculum Higher</v>
      </c>
    </row>
    <row r="32" spans="1:6">
      <c r="A32" s="13" t="str">
        <f>'Alignment Analysis'!A32</f>
        <v>Predictive Modeling</v>
      </c>
      <c r="B32" s="9">
        <f>'Alignment Analysis'!B32</f>
        <v>3.08</v>
      </c>
      <c r="C32" s="9">
        <f>'Alignment Analysis'!C32</f>
        <v>46.25</v>
      </c>
      <c r="D32" s="9">
        <f t="shared" si="0"/>
        <v>-43.17</v>
      </c>
      <c r="E32" s="9">
        <f t="shared" si="1"/>
        <v>43.17</v>
      </c>
      <c r="F32" s="40" t="str">
        <f t="shared" si="2"/>
        <v>Curriculum Higher</v>
      </c>
    </row>
    <row r="33" spans="1:21">
      <c r="A33" s="13" t="str">
        <f>'Alignment Analysis'!A33</f>
        <v>Statistical Modeling</v>
      </c>
      <c r="B33" s="9">
        <f>'Alignment Analysis'!B33</f>
        <v>3.08</v>
      </c>
      <c r="C33" s="9">
        <f>'Alignment Analysis'!C33</f>
        <v>100</v>
      </c>
      <c r="D33" s="9">
        <f t="shared" si="0"/>
        <v>-96.92</v>
      </c>
      <c r="E33" s="9">
        <f t="shared" si="1"/>
        <v>96.92</v>
      </c>
      <c r="F33" s="40" t="str">
        <f t="shared" si="2"/>
        <v>Curriculum Higher</v>
      </c>
    </row>
    <row r="34" spans="1:21">
      <c r="A34" s="13" t="str">
        <f>'Alignment Analysis'!A34</f>
        <v>Supervised Learning</v>
      </c>
      <c r="B34" s="9">
        <f>'Alignment Analysis'!B34</f>
        <v>3.08</v>
      </c>
      <c r="C34" s="9">
        <f>'Alignment Analysis'!C34</f>
        <v>33.75</v>
      </c>
      <c r="D34" s="9">
        <f t="shared" si="0"/>
        <v>-30.67</v>
      </c>
      <c r="E34" s="9">
        <f t="shared" si="1"/>
        <v>30.67</v>
      </c>
      <c r="F34" s="40" t="str">
        <f t="shared" si="2"/>
        <v>Curriculum Higher</v>
      </c>
    </row>
    <row r="35" spans="1:21">
      <c r="A35" s="13" t="str">
        <f>'Alignment Analysis'!A35</f>
        <v>Tableau</v>
      </c>
      <c r="B35" s="9">
        <f>'Alignment Analysis'!B35</f>
        <v>3.08</v>
      </c>
      <c r="C35" s="9">
        <f>'Alignment Analysis'!C35</f>
        <v>5</v>
      </c>
      <c r="D35" s="9">
        <f t="shared" si="0"/>
        <v>-1.92</v>
      </c>
      <c r="E35" s="9">
        <f t="shared" si="1"/>
        <v>1.92</v>
      </c>
      <c r="F35" s="40" t="str">
        <f t="shared" si="2"/>
        <v>Curriculum Higher</v>
      </c>
    </row>
    <row r="36" spans="1:21">
      <c r="A36" s="13" t="str">
        <f>'Alignment Analysis'!A36</f>
        <v>Customer Segmentation</v>
      </c>
      <c r="B36" s="9">
        <f>'Alignment Analysis'!B36</f>
        <v>2.31</v>
      </c>
      <c r="C36" s="9">
        <f>'Alignment Analysis'!C36</f>
        <v>27.5</v>
      </c>
      <c r="D36" s="9">
        <f t="shared" si="0"/>
        <v>-25.19</v>
      </c>
      <c r="E36" s="9">
        <f t="shared" si="1"/>
        <v>25.19</v>
      </c>
      <c r="F36" s="40" t="str">
        <f t="shared" si="2"/>
        <v>Curriculum Higher</v>
      </c>
    </row>
    <row r="37" spans="1:21">
      <c r="A37" s="13" t="str">
        <f>'Alignment Analysis'!A37</f>
        <v>NoSQL Databases</v>
      </c>
      <c r="B37" s="9">
        <f>'Alignment Analysis'!B37</f>
        <v>2.31</v>
      </c>
      <c r="C37" s="9">
        <f>'Alignment Analysis'!C37</f>
        <v>12.5</v>
      </c>
      <c r="D37" s="9">
        <f t="shared" si="0"/>
        <v>-10.19</v>
      </c>
      <c r="E37" s="9">
        <f t="shared" si="1"/>
        <v>10.19</v>
      </c>
      <c r="F37" s="40" t="str">
        <f t="shared" si="2"/>
        <v>Curriculum Higher</v>
      </c>
      <c r="I37" s="15"/>
    </row>
    <row r="38" spans="1:21">
      <c r="A38" s="13" t="str">
        <f>'Alignment Analysis'!A38</f>
        <v>React / Frontend Frameworks</v>
      </c>
      <c r="B38" s="9">
        <f>'Alignment Analysis'!B38</f>
        <v>2.31</v>
      </c>
      <c r="C38" s="9">
        <f>'Alignment Analysis'!C38</f>
        <v>6.25</v>
      </c>
      <c r="D38" s="9">
        <f t="shared" si="0"/>
        <v>-3.94</v>
      </c>
      <c r="E38" s="9">
        <f t="shared" si="1"/>
        <v>3.94</v>
      </c>
      <c r="F38" s="40" t="str">
        <f t="shared" si="2"/>
        <v>Curriculum Higher</v>
      </c>
      <c r="I38" s="15"/>
    </row>
    <row r="39" spans="1:21">
      <c r="A39" s="13" t="str">
        <f>'Alignment Analysis'!A39</f>
        <v>SQL / Relational Databases</v>
      </c>
      <c r="B39" s="9">
        <f>'Alignment Analysis'!B39</f>
        <v>2.31</v>
      </c>
      <c r="C39" s="9">
        <f>'Alignment Analysis'!C39</f>
        <v>61.25</v>
      </c>
      <c r="D39" s="9">
        <f t="shared" si="0"/>
        <v>-58.94</v>
      </c>
      <c r="E39" s="9">
        <f t="shared" si="1"/>
        <v>58.94</v>
      </c>
      <c r="F39" s="40" t="str">
        <f t="shared" si="2"/>
        <v>Curriculum Higher</v>
      </c>
      <c r="I39" s="15"/>
      <c r="U39" s="15"/>
    </row>
    <row r="40" spans="1:21">
      <c r="A40" s="13" t="str">
        <f>'Alignment Analysis'!A40</f>
        <v>Algorithms &amp; Data Structures</v>
      </c>
      <c r="B40" s="9">
        <f>'Alignment Analysis'!B40</f>
        <v>1.54</v>
      </c>
      <c r="C40" s="9">
        <f>'Alignment Analysis'!C40</f>
        <v>90</v>
      </c>
      <c r="D40" s="9">
        <f t="shared" si="0"/>
        <v>-88.46</v>
      </c>
      <c r="E40" s="9">
        <f t="shared" si="1"/>
        <v>88.46</v>
      </c>
      <c r="F40" s="40" t="str">
        <f t="shared" si="2"/>
        <v>Curriculum Higher</v>
      </c>
      <c r="I40" s="15"/>
      <c r="U40" s="15"/>
    </row>
    <row r="41" spans="1:21">
      <c r="A41" s="13" t="str">
        <f>'Alignment Analysis'!A41</f>
        <v>Bayesian Methods / Causal Inference</v>
      </c>
      <c r="B41" s="9">
        <f>'Alignment Analysis'!B41</f>
        <v>1.54</v>
      </c>
      <c r="C41" s="9">
        <f>'Alignment Analysis'!C41</f>
        <v>6.25</v>
      </c>
      <c r="D41" s="9">
        <f t="shared" si="0"/>
        <v>-4.71</v>
      </c>
      <c r="E41" s="9">
        <f t="shared" si="1"/>
        <v>4.71</v>
      </c>
      <c r="F41" s="40" t="str">
        <f t="shared" si="2"/>
        <v>Curriculum Higher</v>
      </c>
      <c r="I41" s="15"/>
      <c r="U41" s="15"/>
    </row>
    <row r="42" spans="1:21">
      <c r="A42" s="13" t="str">
        <f>'Alignment Analysis'!A42</f>
        <v>C / C++</v>
      </c>
      <c r="B42" s="9">
        <f>'Alignment Analysis'!B42</f>
        <v>1.54</v>
      </c>
      <c r="C42" s="9">
        <f>'Alignment Analysis'!C42</f>
        <v>3.75</v>
      </c>
      <c r="D42" s="9">
        <f t="shared" si="0"/>
        <v>-2.21</v>
      </c>
      <c r="E42" s="9">
        <f t="shared" si="1"/>
        <v>2.21</v>
      </c>
      <c r="F42" s="40" t="str">
        <f t="shared" si="2"/>
        <v>Curriculum Higher</v>
      </c>
      <c r="I42" s="15"/>
      <c r="U42" s="15"/>
    </row>
    <row r="43" spans="1:21">
      <c r="A43" s="13" t="str">
        <f>'Alignment Analysis'!A43</f>
        <v>Causal Inference</v>
      </c>
      <c r="B43" s="9">
        <f>'Alignment Analysis'!B43</f>
        <v>1.54</v>
      </c>
      <c r="C43" s="9">
        <f>'Alignment Analysis'!C43</f>
        <v>100</v>
      </c>
      <c r="D43" s="9">
        <f t="shared" si="0"/>
        <v>-98.46</v>
      </c>
      <c r="E43" s="9">
        <f t="shared" si="1"/>
        <v>98.46</v>
      </c>
      <c r="F43" s="40" t="str">
        <f t="shared" si="2"/>
        <v>Curriculum Higher</v>
      </c>
      <c r="I43" s="15"/>
      <c r="U43" s="15"/>
    </row>
    <row r="44" spans="1:21">
      <c r="A44" s="13" t="str">
        <f>'Alignment Analysis'!A44</f>
        <v>Cloud Data Warehousing (BigQuery / Redshift)</v>
      </c>
      <c r="B44" s="9">
        <f>'Alignment Analysis'!B44</f>
        <v>1.54</v>
      </c>
      <c r="C44" s="9">
        <f>'Alignment Analysis'!C44</f>
        <v>17.5</v>
      </c>
      <c r="D44" s="9">
        <f t="shared" si="0"/>
        <v>-15.96</v>
      </c>
      <c r="E44" s="9">
        <f t="shared" si="1"/>
        <v>15.96</v>
      </c>
      <c r="F44" s="40" t="str">
        <f t="shared" si="2"/>
        <v>Curriculum Higher</v>
      </c>
      <c r="I44" s="15"/>
      <c r="U44" s="15"/>
    </row>
    <row r="45" spans="1:21">
      <c r="A45" s="13" t="str">
        <f>'Alignment Analysis'!A45</f>
        <v>Computer Vision</v>
      </c>
      <c r="B45" s="9">
        <f>'Alignment Analysis'!B45</f>
        <v>1.54</v>
      </c>
      <c r="C45" s="9">
        <f>'Alignment Analysis'!C45</f>
        <v>31.25</v>
      </c>
      <c r="D45" s="9">
        <f t="shared" si="0"/>
        <v>-29.71</v>
      </c>
      <c r="E45" s="9">
        <f t="shared" si="1"/>
        <v>29.71</v>
      </c>
      <c r="F45" s="40" t="str">
        <f t="shared" si="2"/>
        <v>Curriculum Higher</v>
      </c>
      <c r="I45" s="15"/>
      <c r="Q45" s="15"/>
      <c r="U45" s="15"/>
    </row>
    <row r="46" spans="1:21">
      <c r="A46" s="13" t="str">
        <f>'Alignment Analysis'!A46</f>
        <v>Computer Vision / Image Processing</v>
      </c>
      <c r="B46" s="9">
        <f>'Alignment Analysis'!B46</f>
        <v>1.54</v>
      </c>
      <c r="C46" s="9">
        <f>'Alignment Analysis'!C46</f>
        <v>3.75</v>
      </c>
      <c r="D46" s="9">
        <f t="shared" si="0"/>
        <v>-2.21</v>
      </c>
      <c r="E46" s="9">
        <f t="shared" si="1"/>
        <v>2.21</v>
      </c>
      <c r="F46" s="40" t="str">
        <f t="shared" si="2"/>
        <v>Curriculum Higher</v>
      </c>
      <c r="I46" s="15"/>
      <c r="Q46" s="15"/>
      <c r="U46" s="15"/>
    </row>
    <row r="47" spans="1:21">
      <c r="A47" s="13" t="str">
        <f>'Alignment Analysis'!A47</f>
        <v>Data Mining</v>
      </c>
      <c r="B47" s="9">
        <f>'Alignment Analysis'!B47</f>
        <v>1.54</v>
      </c>
      <c r="C47" s="9">
        <f>'Alignment Analysis'!C47</f>
        <v>76.25</v>
      </c>
      <c r="D47" s="9">
        <f t="shared" si="0"/>
        <v>-74.709999999999994</v>
      </c>
      <c r="E47" s="9">
        <f t="shared" si="1"/>
        <v>74.709999999999994</v>
      </c>
      <c r="F47" s="40" t="str">
        <f t="shared" si="2"/>
        <v>Curriculum Higher</v>
      </c>
      <c r="I47" s="15"/>
      <c r="Q47" s="15"/>
      <c r="U47" s="15"/>
    </row>
    <row r="48" spans="1:21">
      <c r="A48" s="13" t="str">
        <f>'Alignment Analysis'!A48</f>
        <v>Large-Scale Data Processing / Big Data</v>
      </c>
      <c r="B48" s="9">
        <f>'Alignment Analysis'!B48</f>
        <v>1.54</v>
      </c>
      <c r="C48" s="9">
        <f>'Alignment Analysis'!C48</f>
        <v>57.5</v>
      </c>
      <c r="D48" s="9">
        <f t="shared" si="0"/>
        <v>-55.96</v>
      </c>
      <c r="E48" s="9">
        <f t="shared" si="1"/>
        <v>55.96</v>
      </c>
      <c r="F48" s="40" t="str">
        <f t="shared" si="2"/>
        <v>Curriculum Higher</v>
      </c>
      <c r="I48" s="15"/>
      <c r="Q48" s="15"/>
      <c r="U48" s="15"/>
    </row>
    <row r="49" spans="1:21">
      <c r="A49" s="13" t="str">
        <f>'Alignment Analysis'!A49</f>
        <v>Model Evaluation &amp; Optimization</v>
      </c>
      <c r="B49" s="9">
        <f>'Alignment Analysis'!B49</f>
        <v>1.54</v>
      </c>
      <c r="C49" s="9">
        <f>'Alignment Analysis'!C49</f>
        <v>16.25</v>
      </c>
      <c r="D49" s="9">
        <f t="shared" si="0"/>
        <v>-14.71</v>
      </c>
      <c r="E49" s="9">
        <f t="shared" si="1"/>
        <v>14.71</v>
      </c>
      <c r="F49" s="40" t="str">
        <f t="shared" si="2"/>
        <v>Curriculum Higher</v>
      </c>
      <c r="I49" s="15"/>
      <c r="Q49" s="15"/>
      <c r="U49" s="15"/>
    </row>
    <row r="50" spans="1:21">
      <c r="A50" s="13" t="str">
        <f>'Alignment Analysis'!A50</f>
        <v>Predictive Analytics</v>
      </c>
      <c r="B50" s="9">
        <f>'Alignment Analysis'!B50</f>
        <v>1.54</v>
      </c>
      <c r="C50" s="9">
        <f>'Alignment Analysis'!C50</f>
        <v>70</v>
      </c>
      <c r="D50" s="9">
        <f t="shared" si="0"/>
        <v>-68.459999999999994</v>
      </c>
      <c r="E50" s="9">
        <f t="shared" si="1"/>
        <v>68.459999999999994</v>
      </c>
      <c r="F50" s="40" t="str">
        <f t="shared" si="2"/>
        <v>Curriculum Higher</v>
      </c>
      <c r="I50" s="15"/>
      <c r="Q50" s="15"/>
      <c r="U50" s="15"/>
    </row>
    <row r="51" spans="1:21">
      <c r="A51" s="13" t="str">
        <f>'Alignment Analysis'!A51</f>
        <v>AI Safety &amp; Responsible AI</v>
      </c>
      <c r="B51" s="9">
        <f>'Alignment Analysis'!B51</f>
        <v>0.77</v>
      </c>
      <c r="C51" s="9">
        <f>'Alignment Analysis'!C51</f>
        <v>11.25</v>
      </c>
      <c r="D51" s="9">
        <f t="shared" si="0"/>
        <v>-10.48</v>
      </c>
      <c r="E51" s="9">
        <f t="shared" si="1"/>
        <v>10.48</v>
      </c>
      <c r="F51" s="40" t="str">
        <f t="shared" si="2"/>
        <v>Curriculum Higher</v>
      </c>
      <c r="I51" s="15"/>
      <c r="Q51" s="15"/>
      <c r="U51" s="15"/>
    </row>
    <row r="52" spans="1:21">
      <c r="A52" s="13"/>
      <c r="B52" s="15"/>
      <c r="I52" s="15"/>
      <c r="Q52" s="15"/>
      <c r="U52" s="15"/>
    </row>
    <row r="53" spans="1:21">
      <c r="A53" s="13"/>
      <c r="B53" s="15"/>
      <c r="I53" s="15"/>
      <c r="Q53" s="15"/>
      <c r="U53" s="15"/>
    </row>
    <row r="54" spans="1:21">
      <c r="A54" s="13"/>
      <c r="B54" s="15"/>
      <c r="I54" s="15"/>
      <c r="Q54" s="15"/>
      <c r="U54" s="15"/>
    </row>
    <row r="55" spans="1:21">
      <c r="A55" s="13"/>
      <c r="B55" s="15"/>
      <c r="I55" s="15"/>
      <c r="Q55" s="15"/>
      <c r="U55" s="15"/>
    </row>
    <row r="56" spans="1:21">
      <c r="A56" s="13"/>
      <c r="B56" s="15"/>
      <c r="Q56" s="15"/>
      <c r="U56" s="15"/>
    </row>
    <row r="57" spans="1:21">
      <c r="A57" s="13"/>
      <c r="B57" s="15"/>
      <c r="I57" s="15"/>
      <c r="Q57" s="15"/>
      <c r="U57" s="15"/>
    </row>
    <row r="58" spans="1:21">
      <c r="A58" s="13"/>
      <c r="B58" s="15"/>
      <c r="I58" s="15"/>
      <c r="Q58" s="15"/>
      <c r="U58" s="15"/>
    </row>
    <row r="59" spans="1:21">
      <c r="A59" s="13"/>
      <c r="B59" s="15"/>
      <c r="I59" s="15"/>
      <c r="Q59" s="15"/>
      <c r="U59" s="15"/>
    </row>
    <row r="60" spans="1:21">
      <c r="A60" s="13"/>
      <c r="B60" s="15"/>
      <c r="I60" s="15"/>
      <c r="Q60" s="15"/>
      <c r="U60" s="15"/>
    </row>
    <row r="61" spans="1:21">
      <c r="A61" s="13"/>
      <c r="B61" s="15"/>
      <c r="I61" s="15"/>
      <c r="Q61" s="15"/>
      <c r="U61" s="15"/>
    </row>
    <row r="62" spans="1:21">
      <c r="A62" s="13"/>
      <c r="I62" s="15"/>
      <c r="Q62" s="15"/>
      <c r="U62" s="15"/>
    </row>
    <row r="63" spans="1:21">
      <c r="A63" s="13"/>
      <c r="I63" s="15"/>
      <c r="Q63" s="15"/>
      <c r="U63" s="15"/>
    </row>
    <row r="64" spans="1:21">
      <c r="A64" s="13"/>
      <c r="Q64" s="15"/>
    </row>
    <row r="65" spans="17:17">
      <c r="Q65" s="15"/>
    </row>
    <row r="66" spans="17:17">
      <c r="Q66" s="15"/>
    </row>
    <row r="67" spans="17:17">
      <c r="Q67" s="15"/>
    </row>
    <row r="68" spans="17:17">
      <c r="Q68" s="15"/>
    </row>
    <row r="69" spans="17:17">
      <c r="Q69" s="15"/>
    </row>
    <row r="90" spans="1:9">
      <c r="A90" s="4"/>
      <c r="B90" s="4"/>
    </row>
    <row r="91" spans="1:9">
      <c r="A91" t="s">
        <v>310</v>
      </c>
      <c r="B91" t="s">
        <v>349</v>
      </c>
    </row>
    <row r="92" spans="1:9">
      <c r="A92" t="str">
        <f>INDEX($A$5:$A$51,MATCH(B92,$E$5:$E$51,0))</f>
        <v>Causal Inference</v>
      </c>
      <c r="B92">
        <f>LARGE($E$5:$E$51,ROWS($B$36:B36))</f>
        <v>98.46</v>
      </c>
    </row>
    <row r="93" spans="1:9">
      <c r="A93" t="str">
        <f t="shared" ref="A93:A101" si="3">INDEX($A$5:$A$51,MATCH(B93,$E$5:$E$51,0))</f>
        <v>Statistical Modeling</v>
      </c>
      <c r="B93">
        <f>LARGE($E$5:$E$51,ROWS($B$36:B37))</f>
        <v>96.92</v>
      </c>
    </row>
    <row r="94" spans="1:9">
      <c r="A94" t="str">
        <f t="shared" si="3"/>
        <v>Hypothesis Testing</v>
      </c>
      <c r="B94">
        <f>LARGE($E$5:$E$51,ROWS($B$36:B38))</f>
        <v>91.539999999999992</v>
      </c>
    </row>
    <row r="95" spans="1:9">
      <c r="A95" t="str">
        <f t="shared" si="3"/>
        <v>Model Evaluation</v>
      </c>
      <c r="B95">
        <f>LARGE($E$5:$E$51,ROWS($B$36:B39))</f>
        <v>90.67</v>
      </c>
    </row>
    <row r="96" spans="1:9">
      <c r="A96" t="str">
        <f t="shared" si="3"/>
        <v>Algorithms &amp; Data Structures</v>
      </c>
      <c r="B96">
        <f>LARGE($E$5:$E$51,ROWS($B$36:B40))</f>
        <v>88.46</v>
      </c>
      <c r="I96" s="15"/>
    </row>
    <row r="97" spans="1:9">
      <c r="A97" t="str">
        <f t="shared" si="3"/>
        <v>Anomaly Detection</v>
      </c>
      <c r="B97">
        <f>LARGE($E$5:$E$51,ROWS($B$36:B41))</f>
        <v>87.6</v>
      </c>
      <c r="I97" s="15"/>
    </row>
    <row r="98" spans="1:9">
      <c r="A98" t="str">
        <f t="shared" si="3"/>
        <v>Data Mining</v>
      </c>
      <c r="B98">
        <f>LARGE($E$5:$E$51,ROWS($B$36:B42))</f>
        <v>74.709999999999994</v>
      </c>
      <c r="I98" s="15"/>
    </row>
    <row r="99" spans="1:9">
      <c r="A99" t="str">
        <f t="shared" si="3"/>
        <v>Artificial Intelligence</v>
      </c>
      <c r="B99">
        <f>LARGE($E$5:$E$51,ROWS($B$36:B43))</f>
        <v>73.17</v>
      </c>
      <c r="I99" s="15"/>
    </row>
    <row r="100" spans="1:9">
      <c r="A100" t="str">
        <f t="shared" si="3"/>
        <v>Predictive Analytics</v>
      </c>
      <c r="B100">
        <f>LARGE($E$5:$E$51,ROWS($B$36:B44))</f>
        <v>68.459999999999994</v>
      </c>
      <c r="I100" s="15"/>
    </row>
    <row r="101" spans="1:9">
      <c r="A101" t="str">
        <f t="shared" si="3"/>
        <v>SQL / Relational Databases</v>
      </c>
      <c r="B101">
        <f>LARGE($E$5:$E$51,ROWS($B$36:B45))</f>
        <v>58.94</v>
      </c>
      <c r="I101" s="15"/>
    </row>
    <row r="102" spans="1:9">
      <c r="I102" s="15"/>
    </row>
    <row r="103" spans="1:9">
      <c r="I103" s="15"/>
    </row>
    <row r="104" spans="1:9">
      <c r="I104" s="15"/>
    </row>
    <row r="105" spans="1:9">
      <c r="I105" s="15"/>
    </row>
    <row r="106" spans="1:9">
      <c r="I106" s="15"/>
    </row>
    <row r="107" spans="1:9">
      <c r="I107" s="15"/>
    </row>
    <row r="108" spans="1:9">
      <c r="I108" s="15"/>
    </row>
    <row r="109" spans="1:9">
      <c r="I109" s="15"/>
    </row>
    <row r="110" spans="1:9">
      <c r="I110" s="15"/>
    </row>
    <row r="111" spans="1:9">
      <c r="I111" s="15"/>
    </row>
    <row r="112" spans="1:9">
      <c r="I112" s="15"/>
    </row>
    <row r="113" spans="9:9">
      <c r="I113" s="15"/>
    </row>
    <row r="114" spans="9:9">
      <c r="I114" s="15"/>
    </row>
    <row r="115" spans="9:9">
      <c r="I115" s="15"/>
    </row>
    <row r="116" spans="9:9">
      <c r="I116" s="15"/>
    </row>
    <row r="117" spans="9:9">
      <c r="I117" s="15"/>
    </row>
    <row r="118" spans="9:9">
      <c r="I118" s="15"/>
    </row>
    <row r="119" spans="9:9">
      <c r="I119" s="15"/>
    </row>
    <row r="120" spans="9:9">
      <c r="I120" s="15"/>
    </row>
  </sheetData>
  <sortState xmlns:xlrd2="http://schemas.microsoft.com/office/spreadsheetml/2017/richdata2" ref="A92:B101">
    <sortCondition ref="A92:A101"/>
  </sortState>
  <mergeCells count="2">
    <mergeCell ref="A1:E1"/>
    <mergeCell ref="A2:E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11A8-E1FB-4268-88ED-8E18F6FB92D3}">
  <dimension ref="A1:G134"/>
  <sheetViews>
    <sheetView workbookViewId="0">
      <selection activeCell="A2" sqref="A2:G2"/>
    </sheetView>
  </sheetViews>
  <sheetFormatPr defaultRowHeight="15"/>
  <cols>
    <col min="1" max="1" width="35.5703125" style="17" customWidth="1"/>
    <col min="2" max="2" width="18" customWidth="1"/>
    <col min="3" max="3" width="14.42578125" customWidth="1"/>
    <col min="4" max="4" width="23.85546875" customWidth="1"/>
    <col min="5" max="5" width="22.42578125" customWidth="1"/>
    <col min="6" max="6" width="17.28515625" customWidth="1"/>
    <col min="7" max="7" width="18.28515625" customWidth="1"/>
  </cols>
  <sheetData>
    <row r="1" spans="1:7">
      <c r="A1" s="50" t="s">
        <v>357</v>
      </c>
      <c r="B1" s="50"/>
      <c r="C1" s="50"/>
      <c r="D1" s="50"/>
      <c r="E1" s="50"/>
      <c r="F1" s="50"/>
      <c r="G1" s="50"/>
    </row>
    <row r="2" spans="1:7">
      <c r="A2" s="50" t="s">
        <v>358</v>
      </c>
      <c r="B2" s="50"/>
      <c r="C2" s="50"/>
      <c r="D2" s="50"/>
      <c r="E2" s="50"/>
      <c r="F2" s="50"/>
      <c r="G2" s="50"/>
    </row>
    <row r="4" spans="1:7">
      <c r="A4" s="18" t="s">
        <v>310</v>
      </c>
      <c r="B4" s="12" t="s">
        <v>359</v>
      </c>
      <c r="C4" s="39" t="s">
        <v>360</v>
      </c>
      <c r="D4" s="39" t="s">
        <v>6</v>
      </c>
      <c r="E4" s="39" t="s">
        <v>361</v>
      </c>
      <c r="F4" s="39" t="s">
        <v>362</v>
      </c>
      <c r="G4" s="39" t="s">
        <v>363</v>
      </c>
    </row>
    <row r="5" spans="1:7">
      <c r="A5" s="17" t="str" cm="1">
        <f t="array" ref="A5">IFERROR(INDEX(Skill_Matching!$A$2:$A$200,_xlfn.AGGREGATE(15,6,(ROW(Skill_Matching!$A$2:$A$200)-ROW(Skill_Matching!$A$2)+1)/(Skill_Matching!$D$2:$D$200&lt;&gt;""),ROWS($A$5:A5))),"")</f>
        <v>Python</v>
      </c>
      <c r="B5" s="13" t="str" cm="1">
        <f t="array" ref="B5">IF(A5="","",INDEX(Skill_Matching!$H$2:$H$200,_xlfn.AGGREGATE(15,6,(ROW(Skill_Matching!$A$2:$A$200)-ROW(Skill_Matching!$A$2)+1)/(Skill_Matching!$D$2:$D$200&lt;&gt;""),ROWS($A$5:A5))))</f>
        <v>Covered</v>
      </c>
      <c r="C5" s="40" t="str">
        <f>IF(E5="","",IF(E5&gt;=50,"Tier 1",IF(E5&gt;=25,"Tier 2",IF(E5&gt;=10,"Tier 3","Tier 4"))))</f>
        <v>Tier 1</v>
      </c>
      <c r="D5" s="37" t="str">
        <f>_xlfn.XLOOKUP(A5,Skill_Matching!$A$2:$A$200,Skill_Matching!$J$2:$J$200,"")</f>
        <v>Programming Languages</v>
      </c>
      <c r="E5" s="40">
        <f>_xlfn.XLOOKUP(A5,Skill_Matching!$A$2:$A$200,Skill_Matching!$D$2:$D$200,"")</f>
        <v>90</v>
      </c>
      <c r="F5">
        <f>IF(B5="Covered",1,0)</f>
        <v>1</v>
      </c>
      <c r="G5">
        <f>IF(OR(B5="Covered",B5="Partially Covered"),1,0)</f>
        <v>1</v>
      </c>
    </row>
    <row r="6" spans="1:7">
      <c r="A6" s="17" t="str" cm="1">
        <f t="array" ref="A6">IFERROR(INDEX(Skill_Matching!$A$2:$A$200,_xlfn.AGGREGATE(15,6,(ROW(Skill_Matching!$A$2:$A$200)-ROW(Skill_Matching!$A$2)+1)/(Skill_Matching!$D$2:$D$200&lt;&gt;""),ROWS($A$5:A6))),"")</f>
        <v>Communication &amp; Collaboration</v>
      </c>
      <c r="B6" s="13" t="str" cm="1">
        <f t="array" ref="B6">IF(A6="","",INDEX(Skill_Matching!$H$2:$H$200,_xlfn.AGGREGATE(15,6,(ROW(Skill_Matching!$A$2:$A$200)-ROW(Skill_Matching!$A$2)+1)/(Skill_Matching!$D$2:$D$200&lt;&gt;""),ROWS($A$5:A6))))</f>
        <v>Industry Only</v>
      </c>
      <c r="C6" s="40" t="str">
        <f t="shared" ref="C6:C69" si="0">IF(E6="","",IF(E6&gt;=50,"Tier 1",IF(E6&gt;=25,"Tier 2",IF(E6&gt;=10,"Tier 3","Tier 4"))))</f>
        <v>Tier 1</v>
      </c>
      <c r="D6" s="37" t="str">
        <f>_xlfn.XLOOKUP(A6,Skill_Matching!$A$2:$A$200,Skill_Matching!$J$2:$J$200,"")</f>
        <v>Professional &amp; Soft Skills</v>
      </c>
      <c r="E6" s="40">
        <f>_xlfn.XLOOKUP(A6,Skill_Matching!$A$2:$A$200,Skill_Matching!$D$2:$D$200,"")</f>
        <v>84.62</v>
      </c>
      <c r="F6">
        <f t="shared" ref="F6:F69" si="1">IF(B6="Covered",1,0)</f>
        <v>0</v>
      </c>
      <c r="G6">
        <f t="shared" ref="G6:G69" si="2">IF(OR(B6="Covered",B6="Partially Covered"),1,0)</f>
        <v>0</v>
      </c>
    </row>
    <row r="7" spans="1:7">
      <c r="A7" s="17" t="str" cm="1">
        <f t="array" ref="A7">IFERROR(INDEX(Skill_Matching!$A$2:$A$200,_xlfn.AGGREGATE(15,6,(ROW(Skill_Matching!$A$2:$A$200)-ROW(Skill_Matching!$A$2)+1)/(Skill_Matching!$D$2:$D$200&lt;&gt;""),ROWS($A$5:A7))),"")</f>
        <v>Machine Learning</v>
      </c>
      <c r="B7" s="13" t="str" cm="1">
        <f t="array" ref="B7">IF(A7="","",INDEX(Skill_Matching!$H$2:$H$200,_xlfn.AGGREGATE(15,6,(ROW(Skill_Matching!$A$2:$A$200)-ROW(Skill_Matching!$A$2)+1)/(Skill_Matching!$D$2:$D$200&lt;&gt;""),ROWS($A$5:A7))))</f>
        <v>Covered</v>
      </c>
      <c r="C7" s="40" t="str">
        <f t="shared" si="0"/>
        <v>Tier 1</v>
      </c>
      <c r="D7" s="37" t="str">
        <f>_xlfn.XLOOKUP(A7,Skill_Matching!$A$2:$A$200,Skill_Matching!$J$2:$J$200,"")</f>
        <v>Machine Learning</v>
      </c>
      <c r="E7" s="40">
        <f>_xlfn.XLOOKUP(A7,Skill_Matching!$A$2:$A$200,Skill_Matching!$D$2:$D$200,"")</f>
        <v>82.31</v>
      </c>
      <c r="F7">
        <f t="shared" si="1"/>
        <v>1</v>
      </c>
      <c r="G7">
        <f t="shared" si="2"/>
        <v>1</v>
      </c>
    </row>
    <row r="8" spans="1:7">
      <c r="A8" s="17" t="str" cm="1">
        <f t="array" ref="A8">IFERROR(INDEX(Skill_Matching!$A$2:$A$200,_xlfn.AGGREGATE(15,6,(ROW(Skill_Matching!$A$2:$A$200)-ROW(Skill_Matching!$A$2)+1)/(Skill_Matching!$D$2:$D$200&lt;&gt;""),ROWS($A$5:A8))),"")</f>
        <v>Analytical Thinking &amp; Problem Solving</v>
      </c>
      <c r="B8" s="13" t="str" cm="1">
        <f t="array" ref="B8">IF(A8="","",INDEX(Skill_Matching!$H$2:$H$200,_xlfn.AGGREGATE(15,6,(ROW(Skill_Matching!$A$2:$A$200)-ROW(Skill_Matching!$A$2)+1)/(Skill_Matching!$D$2:$D$200&lt;&gt;""),ROWS($A$5:A8))))</f>
        <v>Industry Only</v>
      </c>
      <c r="C8" s="40" t="str">
        <f t="shared" si="0"/>
        <v>Tier 1</v>
      </c>
      <c r="D8" s="37" t="str">
        <f>_xlfn.XLOOKUP(A8,Skill_Matching!$A$2:$A$200,Skill_Matching!$J$2:$J$200,"")</f>
        <v>Professional &amp; Soft Skills</v>
      </c>
      <c r="E8" s="40">
        <f>_xlfn.XLOOKUP(A8,Skill_Matching!$A$2:$A$200,Skill_Matching!$D$2:$D$200,"")</f>
        <v>76.92</v>
      </c>
      <c r="F8">
        <f t="shared" si="1"/>
        <v>0</v>
      </c>
      <c r="G8">
        <f t="shared" si="2"/>
        <v>0</v>
      </c>
    </row>
    <row r="9" spans="1:7">
      <c r="A9" s="17" t="str" cm="1">
        <f t="array" ref="A9">IFERROR(INDEX(Skill_Matching!$A$2:$A$200,_xlfn.AGGREGATE(15,6,(ROW(Skill_Matching!$A$2:$A$200)-ROW(Skill_Matching!$A$2)+1)/(Skill_Matching!$D$2:$D$200&lt;&gt;""),ROWS($A$5:A9))),"")</f>
        <v>SQL</v>
      </c>
      <c r="B9" s="13" t="str" cm="1">
        <f t="array" ref="B9">IF(A9="","",INDEX(Skill_Matching!$H$2:$H$200,_xlfn.AGGREGATE(15,6,(ROW(Skill_Matching!$A$2:$A$200)-ROW(Skill_Matching!$A$2)+1)/(Skill_Matching!$D$2:$D$200&lt;&gt;""),ROWS($A$5:A9))))</f>
        <v>Covered</v>
      </c>
      <c r="C9" s="40" t="str">
        <f t="shared" si="0"/>
        <v>Tier 1</v>
      </c>
      <c r="D9" s="37" t="str">
        <f>_xlfn.XLOOKUP(A9,Skill_Matching!$A$2:$A$200,Skill_Matching!$J$2:$J$200,"")</f>
        <v>Databases &amp; SQL</v>
      </c>
      <c r="E9" s="40">
        <f>_xlfn.XLOOKUP(A9,Skill_Matching!$A$2:$A$200,Skill_Matching!$D$2:$D$200,"")</f>
        <v>53.08</v>
      </c>
      <c r="F9">
        <f t="shared" si="1"/>
        <v>1</v>
      </c>
      <c r="G9">
        <f t="shared" si="2"/>
        <v>1</v>
      </c>
    </row>
    <row r="10" spans="1:7">
      <c r="A10" s="17" t="str" cm="1">
        <f t="array" ref="A10">IFERROR(INDEX(Skill_Matching!$A$2:$A$200,_xlfn.AGGREGATE(15,6,(ROW(Skill_Matching!$A$2:$A$200)-ROW(Skill_Matching!$A$2)+1)/(Skill_Matching!$D$2:$D$200&lt;&gt;""),ROWS($A$5:A10))),"")</f>
        <v>Cloud Platforms (AWS / Azure / GCP)</v>
      </c>
      <c r="B10" s="13" t="str" cm="1">
        <f t="array" ref="B10">IF(A10="","",INDEX(Skill_Matching!$H$2:$H$200,_xlfn.AGGREGATE(15,6,(ROW(Skill_Matching!$A$2:$A$200)-ROW(Skill_Matching!$A$2)+1)/(Skill_Matching!$D$2:$D$200&lt;&gt;""),ROWS($A$5:A10))))</f>
        <v>Covered</v>
      </c>
      <c r="C10" s="40" t="str">
        <f t="shared" si="0"/>
        <v>Tier 2</v>
      </c>
      <c r="D10" s="37" t="str">
        <f>_xlfn.XLOOKUP(A10,Skill_Matching!$A$2:$A$200,Skill_Matching!$J$2:$J$200,"")</f>
        <v>Cloud &amp; MLOps</v>
      </c>
      <c r="E10" s="40">
        <f>_xlfn.XLOOKUP(A10,Skill_Matching!$A$2:$A$200,Skill_Matching!$D$2:$D$200,"")</f>
        <v>48.46</v>
      </c>
      <c r="F10">
        <f t="shared" si="1"/>
        <v>1</v>
      </c>
      <c r="G10">
        <f t="shared" si="2"/>
        <v>1</v>
      </c>
    </row>
    <row r="11" spans="1:7">
      <c r="A11" s="17" t="str" cm="1">
        <f t="array" ref="A11">IFERROR(INDEX(Skill_Matching!$A$2:$A$200,_xlfn.AGGREGATE(15,6,(ROW(Skill_Matching!$A$2:$A$200)-ROW(Skill_Matching!$A$2)+1)/(Skill_Matching!$D$2:$D$200&lt;&gt;""),ROWS($A$5:A11))),"")</f>
        <v>Scikit-learn / NumPy / Pandas</v>
      </c>
      <c r="B11" s="13" t="str" cm="1">
        <f t="array" ref="B11">IF(A11="","",INDEX(Skill_Matching!$H$2:$H$200,_xlfn.AGGREGATE(15,6,(ROW(Skill_Matching!$A$2:$A$200)-ROW(Skill_Matching!$A$2)+1)/(Skill_Matching!$D$2:$D$200&lt;&gt;""),ROWS($A$5:A11))))</f>
        <v>Partially Covered</v>
      </c>
      <c r="C11" s="40" t="str">
        <f t="shared" si="0"/>
        <v>Tier 2</v>
      </c>
      <c r="D11" s="37" t="str">
        <f>_xlfn.XLOOKUP(A11,Skill_Matching!$A$2:$A$200,Skill_Matching!$J$2:$J$200,"")</f>
        <v>Machine Learning</v>
      </c>
      <c r="E11" s="40">
        <f>_xlfn.XLOOKUP(A11,Skill_Matching!$A$2:$A$200,Skill_Matching!$D$2:$D$200,"")</f>
        <v>47.69</v>
      </c>
      <c r="F11">
        <f t="shared" si="1"/>
        <v>0</v>
      </c>
      <c r="G11">
        <f t="shared" si="2"/>
        <v>1</v>
      </c>
    </row>
    <row r="12" spans="1:7">
      <c r="A12" s="17" t="str" cm="1">
        <f t="array" ref="A12">IFERROR(INDEX(Skill_Matching!$A$2:$A$200,_xlfn.AGGREGATE(15,6,(ROW(Skill_Matching!$A$2:$A$200)-ROW(Skill_Matching!$A$2)+1)/(Skill_Matching!$D$2:$D$200&lt;&gt;""),ROWS($A$5:A12))),"")</f>
        <v>Statistical Analysis</v>
      </c>
      <c r="B12" s="13" t="str" cm="1">
        <f t="array" ref="B12">IF(A12="","",INDEX(Skill_Matching!$H$2:$H$200,_xlfn.AGGREGATE(15,6,(ROW(Skill_Matching!$A$2:$A$200)-ROW(Skill_Matching!$A$2)+1)/(Skill_Matching!$D$2:$D$200&lt;&gt;""),ROWS($A$5:A12))))</f>
        <v>Covered</v>
      </c>
      <c r="C12" s="40" t="str">
        <f t="shared" si="0"/>
        <v>Tier 2</v>
      </c>
      <c r="D12" s="37" t="str">
        <f>_xlfn.XLOOKUP(A12,Skill_Matching!$A$2:$A$200,Skill_Matching!$J$2:$J$200,"")</f>
        <v>Data Analysis &amp; Statistics</v>
      </c>
      <c r="E12" s="40">
        <f>_xlfn.XLOOKUP(A12,Skill_Matching!$A$2:$A$200,Skill_Matching!$D$2:$D$200,"")</f>
        <v>47.69</v>
      </c>
      <c r="F12">
        <f t="shared" si="1"/>
        <v>1</v>
      </c>
      <c r="G12">
        <f t="shared" si="2"/>
        <v>1</v>
      </c>
    </row>
    <row r="13" spans="1:7">
      <c r="A13" s="17" t="str" cm="1">
        <f t="array" ref="A13">IFERROR(INDEX(Skill_Matching!$A$2:$A$200,_xlfn.AGGREGATE(15,6,(ROW(Skill_Matching!$A$2:$A$200)-ROW(Skill_Matching!$A$2)+1)/(Skill_Matching!$D$2:$D$200&lt;&gt;""),ROWS($A$5:A13))),"")</f>
        <v>Large Language Models (LLMs)</v>
      </c>
      <c r="B13" s="13" t="str" cm="1">
        <f t="array" ref="B13">IF(A13="","",INDEX(Skill_Matching!$H$2:$H$200,_xlfn.AGGREGATE(15,6,(ROW(Skill_Matching!$A$2:$A$200)-ROW(Skill_Matching!$A$2)+1)/(Skill_Matching!$D$2:$D$200&lt;&gt;""),ROWS($A$5:A13))))</f>
        <v>Partially Covered</v>
      </c>
      <c r="C13" s="40" t="str">
        <f t="shared" si="0"/>
        <v>Tier 2</v>
      </c>
      <c r="D13" s="37" t="str">
        <f>_xlfn.XLOOKUP(A13,Skill_Matching!$A$2:$A$200,Skill_Matching!$J$2:$J$200,"")</f>
        <v>Generative AI &amp; NLP</v>
      </c>
      <c r="E13" s="40">
        <f>_xlfn.XLOOKUP(A13,Skill_Matching!$A$2:$A$200,Skill_Matching!$D$2:$D$200,"")</f>
        <v>36.92</v>
      </c>
      <c r="F13">
        <f t="shared" si="1"/>
        <v>0</v>
      </c>
      <c r="G13">
        <f t="shared" si="2"/>
        <v>1</v>
      </c>
    </row>
    <row r="14" spans="1:7">
      <c r="A14" s="17" t="str" cm="1">
        <f t="array" ref="A14">IFERROR(INDEX(Skill_Matching!$A$2:$A$200,_xlfn.AGGREGATE(15,6,(ROW(Skill_Matching!$A$2:$A$200)-ROW(Skill_Matching!$A$2)+1)/(Skill_Matching!$D$2:$D$200&lt;&gt;""),ROWS($A$5:A14))),"")</f>
        <v>Generative AI</v>
      </c>
      <c r="B14" s="13" t="str" cm="1">
        <f t="array" ref="B14">IF(A14="","",INDEX(Skill_Matching!$H$2:$H$200,_xlfn.AGGREGATE(15,6,(ROW(Skill_Matching!$A$2:$A$200)-ROW(Skill_Matching!$A$2)+1)/(Skill_Matching!$D$2:$D$200&lt;&gt;""),ROWS($A$5:A14))))</f>
        <v>Covered</v>
      </c>
      <c r="C14" s="40" t="str">
        <f t="shared" si="0"/>
        <v>Tier 2</v>
      </c>
      <c r="D14" s="37" t="str">
        <f>_xlfn.XLOOKUP(A14,Skill_Matching!$A$2:$A$200,Skill_Matching!$J$2:$J$200,"")</f>
        <v>Generative AI &amp; NLP</v>
      </c>
      <c r="E14" s="40">
        <f>_xlfn.XLOOKUP(A14,Skill_Matching!$A$2:$A$200,Skill_Matching!$D$2:$D$200,"")</f>
        <v>34.619999999999997</v>
      </c>
      <c r="F14">
        <f t="shared" si="1"/>
        <v>1</v>
      </c>
      <c r="G14">
        <f t="shared" si="2"/>
        <v>1</v>
      </c>
    </row>
    <row r="15" spans="1:7">
      <c r="A15" s="17" t="str" cm="1">
        <f t="array" ref="A15">IFERROR(INDEX(Skill_Matching!$A$2:$A$200,_xlfn.AGGREGATE(15,6,(ROW(Skill_Matching!$A$2:$A$200)-ROW(Skill_Matching!$A$2)+1)/(Skill_Matching!$D$2:$D$200&lt;&gt;""),ROWS($A$5:A15))),"")</f>
        <v>PyTorch</v>
      </c>
      <c r="B15" s="13" t="str" cm="1">
        <f t="array" ref="B15">IF(A15="","",INDEX(Skill_Matching!$H$2:$H$200,_xlfn.AGGREGATE(15,6,(ROW(Skill_Matching!$A$2:$A$200)-ROW(Skill_Matching!$A$2)+1)/(Skill_Matching!$D$2:$D$200&lt;&gt;""),ROWS($A$5:A15))))</f>
        <v>Partially Covered</v>
      </c>
      <c r="C15" s="40" t="str">
        <f t="shared" si="0"/>
        <v>Tier 2</v>
      </c>
      <c r="D15" s="37" t="str">
        <f>_xlfn.XLOOKUP(A15,Skill_Matching!$A$2:$A$200,Skill_Matching!$J$2:$J$200,"")</f>
        <v>Deep Learning</v>
      </c>
      <c r="E15" s="40">
        <f>_xlfn.XLOOKUP(A15,Skill_Matching!$A$2:$A$200,Skill_Matching!$D$2:$D$200,"")</f>
        <v>33.85</v>
      </c>
      <c r="F15">
        <f t="shared" si="1"/>
        <v>0</v>
      </c>
      <c r="G15">
        <f t="shared" si="2"/>
        <v>1</v>
      </c>
    </row>
    <row r="16" spans="1:7">
      <c r="A16" s="17" t="str" cm="1">
        <f t="array" ref="A16">IFERROR(INDEX(Skill_Matching!$A$2:$A$200,_xlfn.AGGREGATE(15,6,(ROW(Skill_Matching!$A$2:$A$200)-ROW(Skill_Matching!$A$2)+1)/(Skill_Matching!$D$2:$D$200&lt;&gt;""),ROWS($A$5:A16))),"")</f>
        <v>TensorFlow / Keras</v>
      </c>
      <c r="B16" s="13" t="str" cm="1">
        <f t="array" ref="B16">IF(A16="","",INDEX(Skill_Matching!$H$2:$H$200,_xlfn.AGGREGATE(15,6,(ROW(Skill_Matching!$A$2:$A$200)-ROW(Skill_Matching!$A$2)+1)/(Skill_Matching!$D$2:$D$200&lt;&gt;""),ROWS($A$5:A16))))</f>
        <v>Partially Covered</v>
      </c>
      <c r="C16" s="40" t="str">
        <f t="shared" si="0"/>
        <v>Tier 2</v>
      </c>
      <c r="D16" s="37" t="str">
        <f>_xlfn.XLOOKUP(A16,Skill_Matching!$A$2:$A$200,Skill_Matching!$J$2:$J$200,"")</f>
        <v>Deep Learning</v>
      </c>
      <c r="E16" s="40">
        <f>_xlfn.XLOOKUP(A16,Skill_Matching!$A$2:$A$200,Skill_Matching!$D$2:$D$200,"")</f>
        <v>32.31</v>
      </c>
      <c r="F16">
        <f t="shared" si="1"/>
        <v>0</v>
      </c>
      <c r="G16">
        <f t="shared" si="2"/>
        <v>1</v>
      </c>
    </row>
    <row r="17" spans="1:7">
      <c r="A17" s="17" t="str" cm="1">
        <f t="array" ref="A17">IFERROR(INDEX(Skill_Matching!$A$2:$A$200,_xlfn.AGGREGATE(15,6,(ROW(Skill_Matching!$A$2:$A$200)-ROW(Skill_Matching!$A$2)+1)/(Skill_Matching!$D$2:$D$200&lt;&gt;""),ROWS($A$5:A17))),"")</f>
        <v>Data Visualization</v>
      </c>
      <c r="B17" s="13" t="str" cm="1">
        <f t="array" ref="B17">IF(A17="","",INDEX(Skill_Matching!$H$2:$H$200,_xlfn.AGGREGATE(15,6,(ROW(Skill_Matching!$A$2:$A$200)-ROW(Skill_Matching!$A$2)+1)/(Skill_Matching!$D$2:$D$200&lt;&gt;""),ROWS($A$5:A17))))</f>
        <v>Covered</v>
      </c>
      <c r="C17" s="40" t="str">
        <f t="shared" si="0"/>
        <v>Tier 2</v>
      </c>
      <c r="D17" s="37" t="str">
        <f>_xlfn.XLOOKUP(A17,Skill_Matching!$A$2:$A$200,Skill_Matching!$J$2:$J$200,"")</f>
        <v>Data Visualization &amp; BI</v>
      </c>
      <c r="E17" s="40">
        <f>_xlfn.XLOOKUP(A17,Skill_Matching!$A$2:$A$200,Skill_Matching!$D$2:$D$200,"")</f>
        <v>30</v>
      </c>
      <c r="F17">
        <f t="shared" si="1"/>
        <v>1</v>
      </c>
      <c r="G17">
        <f t="shared" si="2"/>
        <v>1</v>
      </c>
    </row>
    <row r="18" spans="1:7">
      <c r="A18" s="17" t="str" cm="1">
        <f t="array" ref="A18">IFERROR(INDEX(Skill_Matching!$A$2:$A$200,_xlfn.AGGREGATE(15,6,(ROW(Skill_Matching!$A$2:$A$200)-ROW(Skill_Matching!$A$2)+1)/(Skill_Matching!$D$2:$D$200&lt;&gt;""),ROWS($A$5:A18))),"")</f>
        <v>Natural Language Processing (NLP)</v>
      </c>
      <c r="B18" s="13" t="str" cm="1">
        <f t="array" ref="B18">IF(A18="","",INDEX(Skill_Matching!$H$2:$H$200,_xlfn.AGGREGATE(15,6,(ROW(Skill_Matching!$A$2:$A$200)-ROW(Skill_Matching!$A$2)+1)/(Skill_Matching!$D$2:$D$200&lt;&gt;""),ROWS($A$5:A18))))</f>
        <v>Covered</v>
      </c>
      <c r="C18" s="40" t="str">
        <f t="shared" si="0"/>
        <v>Tier 2</v>
      </c>
      <c r="D18" s="37" t="str">
        <f>_xlfn.XLOOKUP(A18,Skill_Matching!$A$2:$A$200,Skill_Matching!$J$2:$J$200,"")</f>
        <v>Generative AI &amp; NLP</v>
      </c>
      <c r="E18" s="40">
        <f>_xlfn.XLOOKUP(A18,Skill_Matching!$A$2:$A$200,Skill_Matching!$D$2:$D$200,"")</f>
        <v>30</v>
      </c>
      <c r="F18">
        <f t="shared" si="1"/>
        <v>1</v>
      </c>
      <c r="G18">
        <f t="shared" si="2"/>
        <v>1</v>
      </c>
    </row>
    <row r="19" spans="1:7">
      <c r="A19" s="17" t="str" cm="1">
        <f t="array" ref="A19">IFERROR(INDEX(Skill_Matching!$A$2:$A$200,_xlfn.AGGREGATE(15,6,(ROW(Skill_Matching!$A$2:$A$200)-ROW(Skill_Matching!$A$2)+1)/(Skill_Matching!$D$2:$D$200&lt;&gt;""),ROWS($A$5:A19))),"")</f>
        <v>Deep Learning</v>
      </c>
      <c r="B19" s="13" t="str" cm="1">
        <f t="array" ref="B19">IF(A19="","",INDEX(Skill_Matching!$H$2:$H$200,_xlfn.AGGREGATE(15,6,(ROW(Skill_Matching!$A$2:$A$200)-ROW(Skill_Matching!$A$2)+1)/(Skill_Matching!$D$2:$D$200&lt;&gt;""),ROWS($A$5:A19))))</f>
        <v>Covered</v>
      </c>
      <c r="C19" s="40" t="str">
        <f t="shared" si="0"/>
        <v>Tier 2</v>
      </c>
      <c r="D19" s="37" t="str">
        <f>_xlfn.XLOOKUP(A19,Skill_Matching!$A$2:$A$200,Skill_Matching!$J$2:$J$200,"")</f>
        <v>Deep Learning</v>
      </c>
      <c r="E19" s="40">
        <f>_xlfn.XLOOKUP(A19,Skill_Matching!$A$2:$A$200,Skill_Matching!$D$2:$D$200,"")</f>
        <v>29.23</v>
      </c>
      <c r="F19">
        <f t="shared" si="1"/>
        <v>1</v>
      </c>
      <c r="G19">
        <f t="shared" si="2"/>
        <v>1</v>
      </c>
    </row>
    <row r="20" spans="1:7">
      <c r="A20" s="17" t="str" cm="1">
        <f t="array" ref="A20">IFERROR(INDEX(Skill_Matching!$A$2:$A$200,_xlfn.AGGREGATE(15,6,(ROW(Skill_Matching!$A$2:$A$200)-ROW(Skill_Matching!$A$2)+1)/(Skill_Matching!$D$2:$D$200&lt;&gt;""),ROWS($A$5:A20))),"")</f>
        <v>Feature Engineering</v>
      </c>
      <c r="B20" s="13" t="str" cm="1">
        <f t="array" ref="B20">IF(A20="","",INDEX(Skill_Matching!$H$2:$H$200,_xlfn.AGGREGATE(15,6,(ROW(Skill_Matching!$A$2:$A$200)-ROW(Skill_Matching!$A$2)+1)/(Skill_Matching!$D$2:$D$200&lt;&gt;""),ROWS($A$5:A20))))</f>
        <v>Partially Covered</v>
      </c>
      <c r="C20" s="40" t="str">
        <f t="shared" si="0"/>
        <v>Tier 3</v>
      </c>
      <c r="D20" s="37" t="str">
        <f>_xlfn.XLOOKUP(A20,Skill_Matching!$A$2:$A$200,Skill_Matching!$J$2:$J$200,"")</f>
        <v>Machine Learning</v>
      </c>
      <c r="E20" s="40">
        <f>_xlfn.XLOOKUP(A20,Skill_Matching!$A$2:$A$200,Skill_Matching!$D$2:$D$200,"")</f>
        <v>23.85</v>
      </c>
      <c r="F20">
        <f t="shared" si="1"/>
        <v>0</v>
      </c>
      <c r="G20">
        <f t="shared" si="2"/>
        <v>1</v>
      </c>
    </row>
    <row r="21" spans="1:7">
      <c r="A21" s="17" t="str" cm="1">
        <f t="array" ref="A21">IFERROR(INDEX(Skill_Matching!$A$2:$A$200,_xlfn.AGGREGATE(15,6,(ROW(Skill_Matching!$A$2:$A$200)-ROW(Skill_Matching!$A$2)+1)/(Skill_Matching!$D$2:$D$200&lt;&gt;""),ROWS($A$5:A21))),"")</f>
        <v>Prompt Engineering</v>
      </c>
      <c r="B21" s="13" t="str" cm="1">
        <f t="array" ref="B21">IF(A21="","",INDEX(Skill_Matching!$H$2:$H$200,_xlfn.AGGREGATE(15,6,(ROW(Skill_Matching!$A$2:$A$200)-ROW(Skill_Matching!$A$2)+1)/(Skill_Matching!$D$2:$D$200&lt;&gt;""),ROWS($A$5:A21))))</f>
        <v>Industry Only</v>
      </c>
      <c r="C21" s="40" t="str">
        <f t="shared" si="0"/>
        <v>Tier 3</v>
      </c>
      <c r="D21" s="37" t="str">
        <f>_xlfn.XLOOKUP(A21,Skill_Matching!$A$2:$A$200,Skill_Matching!$J$2:$J$200,"")</f>
        <v>Generative AI &amp; NLP</v>
      </c>
      <c r="E21" s="40">
        <f>_xlfn.XLOOKUP(A21,Skill_Matching!$A$2:$A$200,Skill_Matching!$D$2:$D$200,"")</f>
        <v>21.54</v>
      </c>
      <c r="F21">
        <f t="shared" si="1"/>
        <v>0</v>
      </c>
      <c r="G21">
        <f t="shared" si="2"/>
        <v>0</v>
      </c>
    </row>
    <row r="22" spans="1:7">
      <c r="A22" s="17" t="str" cm="1">
        <f t="array" ref="A22">IFERROR(INDEX(Skill_Matching!$A$2:$A$200,_xlfn.AGGREGATE(15,6,(ROW(Skill_Matching!$A$2:$A$200)-ROW(Skill_Matching!$A$2)+1)/(Skill_Matching!$D$2:$D$200&lt;&gt;""),ROWS($A$5:A22))),"")</f>
        <v>Model Deployment &amp; Monitoring</v>
      </c>
      <c r="B22" s="13" t="str" cm="1">
        <f t="array" ref="B22">IF(A22="","",INDEX(Skill_Matching!$H$2:$H$200,_xlfn.AGGREGATE(15,6,(ROW(Skill_Matching!$A$2:$A$200)-ROW(Skill_Matching!$A$2)+1)/(Skill_Matching!$D$2:$D$200&lt;&gt;""),ROWS($A$5:A22))))</f>
        <v>Industry Only</v>
      </c>
      <c r="C22" s="40" t="str">
        <f t="shared" si="0"/>
        <v>Tier 3</v>
      </c>
      <c r="D22" s="37" t="str">
        <f>_xlfn.XLOOKUP(A22,Skill_Matching!$A$2:$A$200,Skill_Matching!$J$2:$J$200,"")</f>
        <v>Cloud &amp; MLOps</v>
      </c>
      <c r="E22" s="40">
        <f>_xlfn.XLOOKUP(A22,Skill_Matching!$A$2:$A$200,Skill_Matching!$D$2:$D$200,"")</f>
        <v>19.23</v>
      </c>
      <c r="F22">
        <f t="shared" si="1"/>
        <v>0</v>
      </c>
      <c r="G22">
        <f t="shared" si="2"/>
        <v>0</v>
      </c>
    </row>
    <row r="23" spans="1:7">
      <c r="A23" s="17" t="str" cm="1">
        <f t="array" ref="A23">IFERROR(INDEX(Skill_Matching!$A$2:$A$200,_xlfn.AGGREGATE(15,6,(ROW(Skill_Matching!$A$2:$A$200)-ROW(Skill_Matching!$A$2)+1)/(Skill_Matching!$D$2:$D$200&lt;&gt;""),ROWS($A$5:A23))),"")</f>
        <v>MLOps</v>
      </c>
      <c r="B23" s="13" t="str" cm="1">
        <f t="array" ref="B23">IF(A23="","",INDEX(Skill_Matching!$H$2:$H$200,_xlfn.AGGREGATE(15,6,(ROW(Skill_Matching!$A$2:$A$200)-ROW(Skill_Matching!$A$2)+1)/(Skill_Matching!$D$2:$D$200&lt;&gt;""),ROWS($A$5:A23))))</f>
        <v>Industry Only</v>
      </c>
      <c r="C23" s="40" t="str">
        <f t="shared" si="0"/>
        <v>Tier 3</v>
      </c>
      <c r="D23" s="37" t="str">
        <f>_xlfn.XLOOKUP(A23,Skill_Matching!$A$2:$A$200,Skill_Matching!$J$2:$J$200,"")</f>
        <v>Cloud &amp; MLOps</v>
      </c>
      <c r="E23" s="40">
        <f>_xlfn.XLOOKUP(A23,Skill_Matching!$A$2:$A$200,Skill_Matching!$D$2:$D$200,"")</f>
        <v>18.46</v>
      </c>
      <c r="F23">
        <f t="shared" si="1"/>
        <v>0</v>
      </c>
      <c r="G23">
        <f t="shared" si="2"/>
        <v>0</v>
      </c>
    </row>
    <row r="24" spans="1:7">
      <c r="A24" s="17" t="str" cm="1">
        <f t="array" ref="A24">IFERROR(INDEX(Skill_Matching!$A$2:$A$200,_xlfn.AGGREGATE(15,6,(ROW(Skill_Matching!$A$2:$A$200)-ROW(Skill_Matching!$A$2)+1)/(Skill_Matching!$D$2:$D$200&lt;&gt;""),ROWS($A$5:A24))),"")</f>
        <v>Data Preprocessing &amp; Cleaning</v>
      </c>
      <c r="B24" s="13" t="str" cm="1">
        <f t="array" ref="B24">IF(A24="","",INDEX(Skill_Matching!$H$2:$H$200,_xlfn.AGGREGATE(15,6,(ROW(Skill_Matching!$A$2:$A$200)-ROW(Skill_Matching!$A$2)+1)/(Skill_Matching!$D$2:$D$200&lt;&gt;""),ROWS($A$5:A24))))</f>
        <v>Covered</v>
      </c>
      <c r="C24" s="40" t="str">
        <f t="shared" si="0"/>
        <v>Tier 3</v>
      </c>
      <c r="D24" s="37" t="str">
        <f>_xlfn.XLOOKUP(A24,Skill_Matching!$A$2:$A$200,Skill_Matching!$J$2:$J$200,"")</f>
        <v>Data Analysis &amp; Statistics</v>
      </c>
      <c r="E24" s="40">
        <f>_xlfn.XLOOKUP(A24,Skill_Matching!$A$2:$A$200,Skill_Matching!$D$2:$D$200,"")</f>
        <v>13.85</v>
      </c>
      <c r="F24">
        <f t="shared" si="1"/>
        <v>1</v>
      </c>
      <c r="G24">
        <f t="shared" si="2"/>
        <v>1</v>
      </c>
    </row>
    <row r="25" spans="1:7">
      <c r="A25" s="17" t="str" cm="1">
        <f t="array" ref="A25">IFERROR(INDEX(Skill_Matching!$A$2:$A$200,_xlfn.AGGREGATE(15,6,(ROW(Skill_Matching!$A$2:$A$200)-ROW(Skill_Matching!$A$2)+1)/(Skill_Matching!$D$2:$D$200&lt;&gt;""),ROWS($A$5:A25))),"")</f>
        <v>RAG Pipelines &amp; Semantic Search</v>
      </c>
      <c r="B25" s="13" t="str" cm="1">
        <f t="array" ref="B25">IF(A25="","",INDEX(Skill_Matching!$H$2:$H$200,_xlfn.AGGREGATE(15,6,(ROW(Skill_Matching!$A$2:$A$200)-ROW(Skill_Matching!$A$2)+1)/(Skill_Matching!$D$2:$D$200&lt;&gt;""),ROWS($A$5:A25))))</f>
        <v>Industry Only</v>
      </c>
      <c r="C25" s="40" t="str">
        <f t="shared" si="0"/>
        <v>Tier 3</v>
      </c>
      <c r="D25" s="37" t="str">
        <f>_xlfn.XLOOKUP(A25,Skill_Matching!$A$2:$A$200,Skill_Matching!$J$2:$J$200,"")</f>
        <v>Generative AI &amp; NLP</v>
      </c>
      <c r="E25" s="40">
        <f>_xlfn.XLOOKUP(A25,Skill_Matching!$A$2:$A$200,Skill_Matching!$D$2:$D$200,"")</f>
        <v>11.54</v>
      </c>
      <c r="F25">
        <f t="shared" si="1"/>
        <v>0</v>
      </c>
      <c r="G25">
        <f t="shared" si="2"/>
        <v>0</v>
      </c>
    </row>
    <row r="26" spans="1:7">
      <c r="A26" s="17" t="str" cm="1">
        <f t="array" ref="A26">IFERROR(INDEX(Skill_Matching!$A$2:$A$200,_xlfn.AGGREGATE(15,6,(ROW(Skill_Matching!$A$2:$A$200)-ROW(Skill_Matching!$A$2)+1)/(Skill_Matching!$D$2:$D$200&lt;&gt;""),ROWS($A$5:A26))),"")</f>
        <v>Time Series Forecasting</v>
      </c>
      <c r="B26" s="13" t="str" cm="1">
        <f t="array" ref="B26">IF(A26="","",INDEX(Skill_Matching!$H$2:$H$200,_xlfn.AGGREGATE(15,6,(ROW(Skill_Matching!$A$2:$A$200)-ROW(Skill_Matching!$A$2)+1)/(Skill_Matching!$D$2:$D$200&lt;&gt;""),ROWS($A$5:A26))))</f>
        <v>Partially Covered</v>
      </c>
      <c r="C26" s="40" t="str">
        <f t="shared" si="0"/>
        <v>Tier 3</v>
      </c>
      <c r="D26" s="37" t="str">
        <f>_xlfn.XLOOKUP(A26,Skill_Matching!$A$2:$A$200,Skill_Matching!$J$2:$J$200,"")</f>
        <v>Data Analysis &amp; Statistics</v>
      </c>
      <c r="E26" s="40">
        <f>_xlfn.XLOOKUP(A26,Skill_Matching!$A$2:$A$200,Skill_Matching!$D$2:$D$200,"")</f>
        <v>11.54</v>
      </c>
      <c r="F26">
        <f t="shared" si="1"/>
        <v>0</v>
      </c>
      <c r="G26">
        <f t="shared" si="2"/>
        <v>1</v>
      </c>
    </row>
    <row r="27" spans="1:7">
      <c r="A27" s="17" t="str" cm="1">
        <f t="array" ref="A27">IFERROR(INDEX(Skill_Matching!$A$2:$A$200,_xlfn.AGGREGATE(15,6,(ROW(Skill_Matching!$A$2:$A$200)-ROW(Skill_Matching!$A$2)+1)/(Skill_Matching!$D$2:$D$200&lt;&gt;""),ROWS($A$5:A27))),"")</f>
        <v>Data Visualization &amp; Dashboards</v>
      </c>
      <c r="B27" s="13" t="str" cm="1">
        <f t="array" ref="B27">IF(A27="","",INDEX(Skill_Matching!$H$2:$H$200,_xlfn.AGGREGATE(15,6,(ROW(Skill_Matching!$A$2:$A$200)-ROW(Skill_Matching!$A$2)+1)/(Skill_Matching!$D$2:$D$200&lt;&gt;""),ROWS($A$5:A27))))</f>
        <v>Partially Covered</v>
      </c>
      <c r="C27" s="40" t="str">
        <f t="shared" si="0"/>
        <v>Tier 3</v>
      </c>
      <c r="D27" s="37" t="str">
        <f>_xlfn.XLOOKUP(A27,Skill_Matching!$A$2:$A$200,Skill_Matching!$J$2:$J$200,"")</f>
        <v>Data Visualization &amp; BI</v>
      </c>
      <c r="E27" s="40">
        <f>_xlfn.XLOOKUP(A27,Skill_Matching!$A$2:$A$200,Skill_Matching!$D$2:$D$200,"")</f>
        <v>10.77</v>
      </c>
      <c r="F27">
        <f t="shared" si="1"/>
        <v>0</v>
      </c>
      <c r="G27">
        <f t="shared" si="2"/>
        <v>1</v>
      </c>
    </row>
    <row r="28" spans="1:7">
      <c r="A28" s="17" t="str" cm="1">
        <f t="array" ref="A28">IFERROR(INDEX(Skill_Matching!$A$2:$A$200,_xlfn.AGGREGATE(15,6,(ROW(Skill_Matching!$A$2:$A$200)-ROW(Skill_Matching!$A$2)+1)/(Skill_Matching!$D$2:$D$200&lt;&gt;""),ROWS($A$5:A28))),"")</f>
        <v>Experimentation &amp; A/B Testing</v>
      </c>
      <c r="B28" s="13" t="str" cm="1">
        <f t="array" ref="B28">IF(A28="","",INDEX(Skill_Matching!$H$2:$H$200,_xlfn.AGGREGATE(15,6,(ROW(Skill_Matching!$A$2:$A$200)-ROW(Skill_Matching!$A$2)+1)/(Skill_Matching!$D$2:$D$200&lt;&gt;""),ROWS($A$5:A28))))</f>
        <v>Industry Only</v>
      </c>
      <c r="C28" s="40" t="str">
        <f t="shared" si="0"/>
        <v>Tier 3</v>
      </c>
      <c r="D28" s="37" t="str">
        <f>_xlfn.XLOOKUP(A28,Skill_Matching!$A$2:$A$200,Skill_Matching!$J$2:$J$200,"")</f>
        <v>Data Analysis &amp; Statistics</v>
      </c>
      <c r="E28" s="40">
        <f>_xlfn.XLOOKUP(A28,Skill_Matching!$A$2:$A$200,Skill_Matching!$D$2:$D$200,"")</f>
        <v>10.77</v>
      </c>
      <c r="F28">
        <f t="shared" si="1"/>
        <v>0</v>
      </c>
      <c r="G28">
        <f t="shared" si="2"/>
        <v>0</v>
      </c>
    </row>
    <row r="29" spans="1:7">
      <c r="A29" s="17" t="str" cm="1">
        <f t="array" ref="A29">IFERROR(INDEX(Skill_Matching!$A$2:$A$200,_xlfn.AGGREGATE(15,6,(ROW(Skill_Matching!$A$2:$A$200)-ROW(Skill_Matching!$A$2)+1)/(Skill_Matching!$D$2:$D$200&lt;&gt;""),ROWS($A$5:A29))),"")</f>
        <v>Git / Version Control</v>
      </c>
      <c r="B29" s="13" t="str" cm="1">
        <f t="array" ref="B29">IF(A29="","",INDEX(Skill_Matching!$H$2:$H$200,_xlfn.AGGREGATE(15,6,(ROW(Skill_Matching!$A$2:$A$200)-ROW(Skill_Matching!$A$2)+1)/(Skill_Matching!$D$2:$D$200&lt;&gt;""),ROWS($A$5:A29))))</f>
        <v>Industry Only</v>
      </c>
      <c r="C29" s="40" t="str">
        <f t="shared" si="0"/>
        <v>Tier 4</v>
      </c>
      <c r="D29" s="37" t="str">
        <f>_xlfn.XLOOKUP(A29,Skill_Matching!$A$2:$A$200,Skill_Matching!$J$2:$J$200,"")</f>
        <v>Software Engineering</v>
      </c>
      <c r="E29" s="40">
        <f>_xlfn.XLOOKUP(A29,Skill_Matching!$A$2:$A$200,Skill_Matching!$D$2:$D$200,"")</f>
        <v>9.23</v>
      </c>
      <c r="F29">
        <f t="shared" si="1"/>
        <v>0</v>
      </c>
      <c r="G29">
        <f t="shared" si="2"/>
        <v>0</v>
      </c>
    </row>
    <row r="30" spans="1:7">
      <c r="A30" s="17" t="str" cm="1">
        <f t="array" ref="A30">IFERROR(INDEX(Skill_Matching!$A$2:$A$200,_xlfn.AGGREGATE(15,6,(ROW(Skill_Matching!$A$2:$A$200)-ROW(Skill_Matching!$A$2)+1)/(Skill_Matching!$D$2:$D$200&lt;&gt;""),ROWS($A$5:A30))),"")</f>
        <v>Agentic AI Frameworks</v>
      </c>
      <c r="B30" s="13" t="str" cm="1">
        <f t="array" ref="B30">IF(A30="","",INDEX(Skill_Matching!$H$2:$H$200,_xlfn.AGGREGATE(15,6,(ROW(Skill_Matching!$A$2:$A$200)-ROW(Skill_Matching!$A$2)+1)/(Skill_Matching!$D$2:$D$200&lt;&gt;""),ROWS($A$5:A30))))</f>
        <v>Industry Only</v>
      </c>
      <c r="C30" s="40" t="str">
        <f t="shared" si="0"/>
        <v>Tier 4</v>
      </c>
      <c r="D30" s="37" t="str">
        <f>_xlfn.XLOOKUP(A30,Skill_Matching!$A$2:$A$200,Skill_Matching!$J$2:$J$200,"")</f>
        <v>Generative AI &amp; NLP</v>
      </c>
      <c r="E30" s="40">
        <f>_xlfn.XLOOKUP(A30,Skill_Matching!$A$2:$A$200,Skill_Matching!$D$2:$D$200,"")</f>
        <v>8.4600000000000009</v>
      </c>
      <c r="F30">
        <f t="shared" si="1"/>
        <v>0</v>
      </c>
      <c r="G30">
        <f t="shared" si="2"/>
        <v>0</v>
      </c>
    </row>
    <row r="31" spans="1:7">
      <c r="A31" s="17" t="str" cm="1">
        <f t="array" ref="A31">IFERROR(INDEX(Skill_Matching!$A$2:$A$200,_xlfn.AGGREGATE(15,6,(ROW(Skill_Matching!$A$2:$A$200)-ROW(Skill_Matching!$A$2)+1)/(Skill_Matching!$D$2:$D$200&lt;&gt;""),ROWS($A$5:A31))),"")</f>
        <v>Data Pipelines &amp; Automation</v>
      </c>
      <c r="B31" s="13" t="str" cm="1">
        <f t="array" ref="B31">IF(A31="","",INDEX(Skill_Matching!$H$2:$H$200,_xlfn.AGGREGATE(15,6,(ROW(Skill_Matching!$A$2:$A$200)-ROW(Skill_Matching!$A$2)+1)/(Skill_Matching!$D$2:$D$200&lt;&gt;""),ROWS($A$5:A31))))</f>
        <v>Partially Covered</v>
      </c>
      <c r="C31" s="40" t="str">
        <f t="shared" si="0"/>
        <v>Tier 4</v>
      </c>
      <c r="D31" s="37" t="str">
        <f>_xlfn.XLOOKUP(A31,Skill_Matching!$A$2:$A$200,Skill_Matching!$J$2:$J$200,"")</f>
        <v>Data Engineering &amp; Big Data</v>
      </c>
      <c r="E31" s="40">
        <f>_xlfn.XLOOKUP(A31,Skill_Matching!$A$2:$A$200,Skill_Matching!$D$2:$D$200,"")</f>
        <v>8.4600000000000009</v>
      </c>
      <c r="F31">
        <f t="shared" si="1"/>
        <v>0</v>
      </c>
      <c r="G31">
        <f t="shared" si="2"/>
        <v>1</v>
      </c>
    </row>
    <row r="32" spans="1:7">
      <c r="A32" s="17" t="str" cm="1">
        <f t="array" ref="A32">IFERROR(INDEX(Skill_Matching!$A$2:$A$200,_xlfn.AGGREGATE(15,6,(ROW(Skill_Matching!$A$2:$A$200)-ROW(Skill_Matching!$A$2)+1)/(Skill_Matching!$D$2:$D$200&lt;&gt;""),ROWS($A$5:A32))),"")</f>
        <v>Hypothesis Testing</v>
      </c>
      <c r="B32" s="13" t="str" cm="1">
        <f t="array" ref="B32">IF(A32="","",INDEX(Skill_Matching!$H$2:$H$200,_xlfn.AGGREGATE(15,6,(ROW(Skill_Matching!$A$2:$A$200)-ROW(Skill_Matching!$A$2)+1)/(Skill_Matching!$D$2:$D$200&lt;&gt;""),ROWS($A$5:A32))))</f>
        <v>Partially Covered</v>
      </c>
      <c r="C32" s="40" t="str">
        <f t="shared" si="0"/>
        <v>Tier 4</v>
      </c>
      <c r="D32" s="37" t="str">
        <f>_xlfn.XLOOKUP(A32,Skill_Matching!$A$2:$A$200,Skill_Matching!$J$2:$J$200,"")</f>
        <v>Data Analysis &amp; Statistics</v>
      </c>
      <c r="E32" s="40">
        <f>_xlfn.XLOOKUP(A32,Skill_Matching!$A$2:$A$200,Skill_Matching!$D$2:$D$200,"")</f>
        <v>8.4600000000000009</v>
      </c>
      <c r="F32">
        <f t="shared" si="1"/>
        <v>0</v>
      </c>
      <c r="G32">
        <f t="shared" si="2"/>
        <v>1</v>
      </c>
    </row>
    <row r="33" spans="1:7" ht="30.75">
      <c r="A33" s="17" t="str" cm="1">
        <f t="array" ref="A33">IFERROR(INDEX(Skill_Matching!$A$2:$A$200,_xlfn.AGGREGATE(15,6,(ROW(Skill_Matching!$A$2:$A$200)-ROW(Skill_Matching!$A$2)+1)/(Skill_Matching!$D$2:$D$200&lt;&gt;""),ROWS($A$5:A33))),"")</f>
        <v>LLM Orchestration (LangChain / LangGraph / LlamaIndex)</v>
      </c>
      <c r="B33" s="13" t="str" cm="1">
        <f t="array" ref="B33">IF(A33="","",INDEX(Skill_Matching!$H$2:$H$200,_xlfn.AGGREGATE(15,6,(ROW(Skill_Matching!$A$2:$A$200)-ROW(Skill_Matching!$A$2)+1)/(Skill_Matching!$D$2:$D$200&lt;&gt;""),ROWS($A$5:A33))))</f>
        <v>Industry Only</v>
      </c>
      <c r="C33" s="40" t="str">
        <f t="shared" si="0"/>
        <v>Tier 4</v>
      </c>
      <c r="D33" s="37" t="str">
        <f>_xlfn.XLOOKUP(A33,Skill_Matching!$A$2:$A$200,Skill_Matching!$J$2:$J$200,"")</f>
        <v>Generative AI &amp; NLP</v>
      </c>
      <c r="E33" s="40">
        <f>_xlfn.XLOOKUP(A33,Skill_Matching!$A$2:$A$200,Skill_Matching!$D$2:$D$200,"")</f>
        <v>8.4600000000000009</v>
      </c>
      <c r="F33">
        <f t="shared" si="1"/>
        <v>0</v>
      </c>
      <c r="G33">
        <f t="shared" si="2"/>
        <v>0</v>
      </c>
    </row>
    <row r="34" spans="1:7">
      <c r="A34" s="17" t="str" cm="1">
        <f t="array" ref="A34">IFERROR(INDEX(Skill_Matching!$A$2:$A$200,_xlfn.AGGREGATE(15,6,(ROW(Skill_Matching!$A$2:$A$200)-ROW(Skill_Matching!$A$2)+1)/(Skill_Matching!$D$2:$D$200&lt;&gt;""),ROWS($A$5:A34))),"")</f>
        <v>R Programming</v>
      </c>
      <c r="B34" s="13" t="str" cm="1">
        <f t="array" ref="B34">IF(A34="","",INDEX(Skill_Matching!$H$2:$H$200,_xlfn.AGGREGATE(15,6,(ROW(Skill_Matching!$A$2:$A$200)-ROW(Skill_Matching!$A$2)+1)/(Skill_Matching!$D$2:$D$200&lt;&gt;""),ROWS($A$5:A34))))</f>
        <v>Covered</v>
      </c>
      <c r="C34" s="40" t="str">
        <f t="shared" si="0"/>
        <v>Tier 4</v>
      </c>
      <c r="D34" s="37" t="str">
        <f>_xlfn.XLOOKUP(A34,Skill_Matching!$A$2:$A$200,Skill_Matching!$J$2:$J$200,"")</f>
        <v>Programming Languages</v>
      </c>
      <c r="E34" s="40">
        <f>_xlfn.XLOOKUP(A34,Skill_Matching!$A$2:$A$200,Skill_Matching!$D$2:$D$200,"")</f>
        <v>7.69</v>
      </c>
      <c r="F34">
        <f t="shared" si="1"/>
        <v>1</v>
      </c>
      <c r="G34">
        <f t="shared" si="2"/>
        <v>1</v>
      </c>
    </row>
    <row r="35" spans="1:7">
      <c r="A35" s="17" t="str" cm="1">
        <f t="array" ref="A35">IFERROR(INDEX(Skill_Matching!$A$2:$A$200,_xlfn.AGGREGATE(15,6,(ROW(Skill_Matching!$A$2:$A$200)-ROW(Skill_Matching!$A$2)+1)/(Skill_Matching!$D$2:$D$200&lt;&gt;""),ROWS($A$5:A35))),"")</f>
        <v>Vector Databases &amp; Embeddings</v>
      </c>
      <c r="B35" s="13" t="str" cm="1">
        <f t="array" ref="B35">IF(A35="","",INDEX(Skill_Matching!$H$2:$H$200,_xlfn.AGGREGATE(15,6,(ROW(Skill_Matching!$A$2:$A$200)-ROW(Skill_Matching!$A$2)+1)/(Skill_Matching!$D$2:$D$200&lt;&gt;""),ROWS($A$5:A35))))</f>
        <v>Industry Only</v>
      </c>
      <c r="C35" s="40" t="str">
        <f t="shared" si="0"/>
        <v>Tier 4</v>
      </c>
      <c r="D35" s="37" t="str">
        <f>_xlfn.XLOOKUP(A35,Skill_Matching!$A$2:$A$200,Skill_Matching!$J$2:$J$200,"")</f>
        <v>Generative AI &amp; NLP</v>
      </c>
      <c r="E35" s="40">
        <f>_xlfn.XLOOKUP(A35,Skill_Matching!$A$2:$A$200,Skill_Matching!$D$2:$D$200,"")</f>
        <v>6.92</v>
      </c>
      <c r="F35">
        <f t="shared" si="1"/>
        <v>0</v>
      </c>
      <c r="G35">
        <f t="shared" si="2"/>
        <v>0</v>
      </c>
    </row>
    <row r="36" spans="1:7">
      <c r="A36" s="17" t="str" cm="1">
        <f t="array" ref="A36">IFERROR(INDEX(Skill_Matching!$A$2:$A$200,_xlfn.AGGREGATE(15,6,(ROW(Skill_Matching!$A$2:$A$200)-ROW(Skill_Matching!$A$2)+1)/(Skill_Matching!$D$2:$D$200&lt;&gt;""),ROWS($A$5:A36))),"")</f>
        <v>Anomaly Detection</v>
      </c>
      <c r="B36" s="13" t="str" cm="1">
        <f t="array" ref="B36">IF(A36="","",INDEX(Skill_Matching!$H$2:$H$200,_xlfn.AGGREGATE(15,6,(ROW(Skill_Matching!$A$2:$A$200)-ROW(Skill_Matching!$A$2)+1)/(Skill_Matching!$D$2:$D$200&lt;&gt;""),ROWS($A$5:A36))))</f>
        <v>Partially Covered</v>
      </c>
      <c r="C36" s="40" t="str">
        <f t="shared" si="0"/>
        <v>Tier 4</v>
      </c>
      <c r="D36" s="37" t="str">
        <f>_xlfn.XLOOKUP(A36,Skill_Matching!$A$2:$A$200,Skill_Matching!$J$2:$J$200,"")</f>
        <v>Machine Learning</v>
      </c>
      <c r="E36" s="40">
        <f>_xlfn.XLOOKUP(A36,Skill_Matching!$A$2:$A$200,Skill_Matching!$D$2:$D$200,"")</f>
        <v>6.15</v>
      </c>
      <c r="F36">
        <f t="shared" si="1"/>
        <v>0</v>
      </c>
      <c r="G36">
        <f t="shared" si="2"/>
        <v>1</v>
      </c>
    </row>
    <row r="37" spans="1:7" ht="30.75">
      <c r="A37" s="17" t="str" cm="1">
        <f t="array" ref="A37">IFERROR(INDEX(Skill_Matching!$A$2:$A$200,_xlfn.AGGREGATE(15,6,(ROW(Skill_Matching!$A$2:$A$200)-ROW(Skill_Matching!$A$2)+1)/(Skill_Matching!$D$2:$D$200&lt;&gt;""),ROWS($A$5:A37))),"")</f>
        <v>Communication &amp; Stakeholder Management</v>
      </c>
      <c r="B37" s="13" t="str" cm="1">
        <f t="array" ref="B37">IF(A37="","",INDEX(Skill_Matching!$H$2:$H$200,_xlfn.AGGREGATE(15,6,(ROW(Skill_Matching!$A$2:$A$200)-ROW(Skill_Matching!$A$2)+1)/(Skill_Matching!$D$2:$D$200&lt;&gt;""),ROWS($A$5:A37))))</f>
        <v>Industry Only</v>
      </c>
      <c r="C37" s="40" t="str">
        <f t="shared" si="0"/>
        <v>Tier 4</v>
      </c>
      <c r="D37" s="37" t="str">
        <f>_xlfn.XLOOKUP(A37,Skill_Matching!$A$2:$A$200,Skill_Matching!$J$2:$J$200,"")</f>
        <v>Professional &amp; Soft Skills</v>
      </c>
      <c r="E37" s="40">
        <f>_xlfn.XLOOKUP(A37,Skill_Matching!$A$2:$A$200,Skill_Matching!$D$2:$D$200,"")</f>
        <v>6.15</v>
      </c>
      <c r="F37">
        <f t="shared" si="1"/>
        <v>0</v>
      </c>
      <c r="G37">
        <f t="shared" si="2"/>
        <v>0</v>
      </c>
    </row>
    <row r="38" spans="1:7">
      <c r="A38" s="17" t="str" cm="1">
        <f t="array" ref="A38">IFERROR(INDEX(Skill_Matching!$A$2:$A$200,_xlfn.AGGREGATE(15,6,(ROW(Skill_Matching!$A$2:$A$200)-ROW(Skill_Matching!$A$2)+1)/(Skill_Matching!$D$2:$D$200&lt;&gt;""),ROWS($A$5:A38))),"")</f>
        <v>Docker / Kubernetes</v>
      </c>
      <c r="B38" s="13" t="str" cm="1">
        <f t="array" ref="B38">IF(A38="","",INDEX(Skill_Matching!$H$2:$H$200,_xlfn.AGGREGATE(15,6,(ROW(Skill_Matching!$A$2:$A$200)-ROW(Skill_Matching!$A$2)+1)/(Skill_Matching!$D$2:$D$200&lt;&gt;""),ROWS($A$5:A38))))</f>
        <v>Industry Only</v>
      </c>
      <c r="C38" s="40" t="str">
        <f t="shared" si="0"/>
        <v>Tier 4</v>
      </c>
      <c r="D38" s="37" t="str">
        <f>_xlfn.XLOOKUP(A38,Skill_Matching!$A$2:$A$200,Skill_Matching!$J$2:$J$200,"")</f>
        <v>Cloud &amp; MLOps</v>
      </c>
      <c r="E38" s="40">
        <f>_xlfn.XLOOKUP(A38,Skill_Matching!$A$2:$A$200,Skill_Matching!$D$2:$D$200,"")</f>
        <v>6.15</v>
      </c>
      <c r="F38">
        <f t="shared" si="1"/>
        <v>0</v>
      </c>
      <c r="G38">
        <f t="shared" si="2"/>
        <v>0</v>
      </c>
    </row>
    <row r="39" spans="1:7">
      <c r="A39" s="17" t="str" cm="1">
        <f t="array" ref="A39">IFERROR(INDEX(Skill_Matching!$A$2:$A$200,_xlfn.AGGREGATE(15,6,(ROW(Skill_Matching!$A$2:$A$200)-ROW(Skill_Matching!$A$2)+1)/(Skill_Matching!$D$2:$D$200&lt;&gt;""),ROWS($A$5:A39))),"")</f>
        <v>ETL / ELT Pipelines &amp; Data Pipelines</v>
      </c>
      <c r="B39" s="13" t="str" cm="1">
        <f t="array" ref="B39">IF(A39="","",INDEX(Skill_Matching!$H$2:$H$200,_xlfn.AGGREGATE(15,6,(ROW(Skill_Matching!$A$2:$A$200)-ROW(Skill_Matching!$A$2)+1)/(Skill_Matching!$D$2:$D$200&lt;&gt;""),ROWS($A$5:A39))))</f>
        <v>Partially Covered</v>
      </c>
      <c r="C39" s="40" t="str">
        <f t="shared" si="0"/>
        <v>Tier 4</v>
      </c>
      <c r="D39" s="37" t="str">
        <f>_xlfn.XLOOKUP(A39,Skill_Matching!$A$2:$A$200,Skill_Matching!$J$2:$J$200,"")</f>
        <v>Data Engineering &amp; Big Data</v>
      </c>
      <c r="E39" s="40">
        <f>_xlfn.XLOOKUP(A39,Skill_Matching!$A$2:$A$200,Skill_Matching!$D$2:$D$200,"")</f>
        <v>6.15</v>
      </c>
      <c r="F39">
        <f t="shared" si="1"/>
        <v>0</v>
      </c>
      <c r="G39">
        <f t="shared" si="2"/>
        <v>1</v>
      </c>
    </row>
    <row r="40" spans="1:7">
      <c r="A40" s="17" t="str" cm="1">
        <f t="array" ref="A40">IFERROR(INDEX(Skill_Matching!$A$2:$A$200,_xlfn.AGGREGATE(15,6,(ROW(Skill_Matching!$A$2:$A$200)-ROW(Skill_Matching!$A$2)+1)/(Skill_Matching!$D$2:$D$200&lt;&gt;""),ROWS($A$5:A40))),"")</f>
        <v>Exploratory Data Analysis (EDA)</v>
      </c>
      <c r="B40" s="13" t="str" cm="1">
        <f t="array" ref="B40">IF(A40="","",INDEX(Skill_Matching!$H$2:$H$200,_xlfn.AGGREGATE(15,6,(ROW(Skill_Matching!$A$2:$A$200)-ROW(Skill_Matching!$A$2)+1)/(Skill_Matching!$D$2:$D$200&lt;&gt;""),ROWS($A$5:A40))))</f>
        <v>Covered</v>
      </c>
      <c r="C40" s="40" t="str">
        <f t="shared" si="0"/>
        <v>Tier 4</v>
      </c>
      <c r="D40" s="37" t="str">
        <f>_xlfn.XLOOKUP(A40,Skill_Matching!$A$2:$A$200,Skill_Matching!$J$2:$J$200,"")</f>
        <v>Data Analysis &amp; Statistics</v>
      </c>
      <c r="E40" s="40">
        <f>_xlfn.XLOOKUP(A40,Skill_Matching!$A$2:$A$200,Skill_Matching!$D$2:$D$200,"")</f>
        <v>6.15</v>
      </c>
      <c r="F40">
        <f t="shared" si="1"/>
        <v>1</v>
      </c>
      <c r="G40">
        <f t="shared" si="2"/>
        <v>1</v>
      </c>
    </row>
    <row r="41" spans="1:7">
      <c r="A41" s="17" t="str" cm="1">
        <f t="array" ref="A41">IFERROR(INDEX(Skill_Matching!$A$2:$A$200,_xlfn.AGGREGATE(15,6,(ROW(Skill_Matching!$A$2:$A$200)-ROW(Skill_Matching!$A$2)+1)/(Skill_Matching!$D$2:$D$200&lt;&gt;""),ROWS($A$5:A41))),"")</f>
        <v>Big Data (Hadoop / Spark)</v>
      </c>
      <c r="B41" s="13" t="str" cm="1">
        <f t="array" ref="B41">IF(A41="","",INDEX(Skill_Matching!$H$2:$H$200,_xlfn.AGGREGATE(15,6,(ROW(Skill_Matching!$A$2:$A$200)-ROW(Skill_Matching!$A$2)+1)/(Skill_Matching!$D$2:$D$200&lt;&gt;""),ROWS($A$5:A41))))</f>
        <v>Covered</v>
      </c>
      <c r="C41" s="40" t="str">
        <f t="shared" si="0"/>
        <v>Tier 4</v>
      </c>
      <c r="D41" s="37" t="str">
        <f>_xlfn.XLOOKUP(A41,Skill_Matching!$A$2:$A$200,Skill_Matching!$J$2:$J$200,"")</f>
        <v>Data Engineering &amp; Big Data</v>
      </c>
      <c r="E41" s="40">
        <f>_xlfn.XLOOKUP(A41,Skill_Matching!$A$2:$A$200,Skill_Matching!$D$2:$D$200,"")</f>
        <v>5.38</v>
      </c>
      <c r="F41">
        <f t="shared" si="1"/>
        <v>1</v>
      </c>
      <c r="G41">
        <f t="shared" si="2"/>
        <v>1</v>
      </c>
    </row>
    <row r="42" spans="1:7">
      <c r="A42" s="17" t="str" cm="1">
        <f t="array" ref="A42">IFERROR(INDEX(Skill_Matching!$A$2:$A$200,_xlfn.AGGREGATE(15,6,(ROW(Skill_Matching!$A$2:$A$200)-ROW(Skill_Matching!$A$2)+1)/(Skill_Matching!$D$2:$D$200&lt;&gt;""),ROWS($A$5:A42))),"")</f>
        <v>A/B Testing</v>
      </c>
      <c r="B42" s="13" t="str" cm="1">
        <f t="array" ref="B42">IF(A42="","",INDEX(Skill_Matching!$H$2:$H$200,_xlfn.AGGREGATE(15,6,(ROW(Skill_Matching!$A$2:$A$200)-ROW(Skill_Matching!$A$2)+1)/(Skill_Matching!$D$2:$D$200&lt;&gt;""),ROWS($A$5:A42))))</f>
        <v>Industry Only</v>
      </c>
      <c r="C42" s="40" t="str">
        <f t="shared" si="0"/>
        <v>Tier 4</v>
      </c>
      <c r="D42" s="37" t="str">
        <f>_xlfn.XLOOKUP(A42,Skill_Matching!$A$2:$A$200,Skill_Matching!$J$2:$J$200,"")</f>
        <v>Data Analysis &amp; Statistics</v>
      </c>
      <c r="E42" s="40">
        <f>_xlfn.XLOOKUP(A42,Skill_Matching!$A$2:$A$200,Skill_Matching!$D$2:$D$200,"")</f>
        <v>4.62</v>
      </c>
      <c r="F42">
        <f t="shared" si="1"/>
        <v>0</v>
      </c>
      <c r="G42">
        <f t="shared" si="2"/>
        <v>0</v>
      </c>
    </row>
    <row r="43" spans="1:7">
      <c r="A43" s="17" t="str" cm="1">
        <f t="array" ref="A43">IFERROR(INDEX(Skill_Matching!$A$2:$A$200,_xlfn.AGGREGATE(15,6,(ROW(Skill_Matching!$A$2:$A$200)-ROW(Skill_Matching!$A$2)+1)/(Skill_Matching!$D$2:$D$200&lt;&gt;""),ROWS($A$5:A43))),"")</f>
        <v>PySpark</v>
      </c>
      <c r="B43" s="13" t="str" cm="1">
        <f t="array" ref="B43">IF(A43="","",INDEX(Skill_Matching!$H$2:$H$200,_xlfn.AGGREGATE(15,6,(ROW(Skill_Matching!$A$2:$A$200)-ROW(Skill_Matching!$A$2)+1)/(Skill_Matching!$D$2:$D$200&lt;&gt;""),ROWS($A$5:A43))))</f>
        <v>Industry Only</v>
      </c>
      <c r="C43" s="40" t="str">
        <f t="shared" si="0"/>
        <v>Tier 4</v>
      </c>
      <c r="D43" s="37" t="str">
        <f>_xlfn.XLOOKUP(A43,Skill_Matching!$A$2:$A$200,Skill_Matching!$J$2:$J$200,"")</f>
        <v>Data Engineering &amp; Big Data</v>
      </c>
      <c r="E43" s="40">
        <f>_xlfn.XLOOKUP(A43,Skill_Matching!$A$2:$A$200,Skill_Matching!$D$2:$D$200,"")</f>
        <v>3.85</v>
      </c>
      <c r="F43">
        <f t="shared" si="1"/>
        <v>0</v>
      </c>
      <c r="G43">
        <f t="shared" si="2"/>
        <v>0</v>
      </c>
    </row>
    <row r="44" spans="1:7">
      <c r="A44" s="17" t="str" cm="1">
        <f t="array" ref="A44">IFERROR(INDEX(Skill_Matching!$A$2:$A$200,_xlfn.AGGREGATE(15,6,(ROW(Skill_Matching!$A$2:$A$200)-ROW(Skill_Matching!$A$2)+1)/(Skill_Matching!$D$2:$D$200&lt;&gt;""),ROWS($A$5:A44))),"")</f>
        <v>REST APIs &amp; Microservices</v>
      </c>
      <c r="B44" s="13" t="str" cm="1">
        <f t="array" ref="B44">IF(A44="","",INDEX(Skill_Matching!$H$2:$H$200,_xlfn.AGGREGATE(15,6,(ROW(Skill_Matching!$A$2:$A$200)-ROW(Skill_Matching!$A$2)+1)/(Skill_Matching!$D$2:$D$200&lt;&gt;""),ROWS($A$5:A44))))</f>
        <v>Industry Only</v>
      </c>
      <c r="C44" s="40" t="str">
        <f t="shared" si="0"/>
        <v>Tier 4</v>
      </c>
      <c r="D44" s="37" t="str">
        <f>_xlfn.XLOOKUP(A44,Skill_Matching!$A$2:$A$200,Skill_Matching!$J$2:$J$200,"")</f>
        <v>Software Engineering</v>
      </c>
      <c r="E44" s="40">
        <f>_xlfn.XLOOKUP(A44,Skill_Matching!$A$2:$A$200,Skill_Matching!$D$2:$D$200,"")</f>
        <v>3.85</v>
      </c>
      <c r="F44">
        <f t="shared" si="1"/>
        <v>0</v>
      </c>
      <c r="G44">
        <f t="shared" si="2"/>
        <v>0</v>
      </c>
    </row>
    <row r="45" spans="1:7">
      <c r="A45" s="17" t="str" cm="1">
        <f t="array" ref="A45">IFERROR(INDEX(Skill_Matching!$A$2:$A$200,_xlfn.AGGREGATE(15,6,(ROW(Skill_Matching!$A$2:$A$200)-ROW(Skill_Matching!$A$2)+1)/(Skill_Matching!$D$2:$D$200&lt;&gt;""),ROWS($A$5:A45))),"")</f>
        <v>Artificial Intelligence</v>
      </c>
      <c r="B45" s="13" t="str" cm="1">
        <f t="array" ref="B45">IF(A45="","",INDEX(Skill_Matching!$H$2:$H$200,_xlfn.AGGREGATE(15,6,(ROW(Skill_Matching!$A$2:$A$200)-ROW(Skill_Matching!$A$2)+1)/(Skill_Matching!$D$2:$D$200&lt;&gt;""),ROWS($A$5:A45))))</f>
        <v>Covered</v>
      </c>
      <c r="C45" s="40" t="str">
        <f t="shared" si="0"/>
        <v>Tier 4</v>
      </c>
      <c r="D45" s="37" t="str">
        <f>_xlfn.XLOOKUP(A45,Skill_Matching!$A$2:$A$200,Skill_Matching!$J$2:$J$200,"")</f>
        <v>Artificial Intelligence</v>
      </c>
      <c r="E45" s="40">
        <f>_xlfn.XLOOKUP(A45,Skill_Matching!$A$2:$A$200,Skill_Matching!$D$2:$D$200,"")</f>
        <v>3.08</v>
      </c>
      <c r="F45">
        <f t="shared" si="1"/>
        <v>1</v>
      </c>
      <c r="G45">
        <f t="shared" si="2"/>
        <v>1</v>
      </c>
    </row>
    <row r="46" spans="1:7">
      <c r="A46" s="17" t="str" cm="1">
        <f t="array" ref="A46">IFERROR(INDEX(Skill_Matching!$A$2:$A$200,_xlfn.AGGREGATE(15,6,(ROW(Skill_Matching!$A$2:$A$200)-ROW(Skill_Matching!$A$2)+1)/(Skill_Matching!$D$2:$D$200&lt;&gt;""),ROWS($A$5:A46))),"")</f>
        <v>CI/CD &amp; DevOps</v>
      </c>
      <c r="B46" s="13" t="str" cm="1">
        <f t="array" ref="B46">IF(A46="","",INDEX(Skill_Matching!$H$2:$H$200,_xlfn.AGGREGATE(15,6,(ROW(Skill_Matching!$A$2:$A$200)-ROW(Skill_Matching!$A$2)+1)/(Skill_Matching!$D$2:$D$200&lt;&gt;""),ROWS($A$5:A46))))</f>
        <v>Industry Only</v>
      </c>
      <c r="C46" s="40" t="str">
        <f t="shared" si="0"/>
        <v>Tier 4</v>
      </c>
      <c r="D46" s="37" t="str">
        <f>_xlfn.XLOOKUP(A46,Skill_Matching!$A$2:$A$200,Skill_Matching!$J$2:$J$200,"")</f>
        <v>Cloud &amp; MLOps</v>
      </c>
      <c r="E46" s="40">
        <f>_xlfn.XLOOKUP(A46,Skill_Matching!$A$2:$A$200,Skill_Matching!$D$2:$D$200,"")</f>
        <v>3.08</v>
      </c>
      <c r="F46">
        <f t="shared" si="1"/>
        <v>0</v>
      </c>
      <c r="G46">
        <f t="shared" si="2"/>
        <v>0</v>
      </c>
    </row>
    <row r="47" spans="1:7" ht="30.75">
      <c r="A47" s="17" t="str" cm="1">
        <f t="array" ref="A47">IFERROR(INDEX(Skill_Matching!$A$2:$A$200,_xlfn.AGGREGATE(15,6,(ROW(Skill_Matching!$A$2:$A$200)-ROW(Skill_Matching!$A$2)+1)/(Skill_Matching!$D$2:$D$200&lt;&gt;""),ROWS($A$5:A47))),"")</f>
        <v>Customer Segmentation &amp; Propensity Modeling</v>
      </c>
      <c r="B47" s="13" t="str" cm="1">
        <f t="array" ref="B47">IF(A47="","",INDEX(Skill_Matching!$H$2:$H$200,_xlfn.AGGREGATE(15,6,(ROW(Skill_Matching!$A$2:$A$200)-ROW(Skill_Matching!$A$2)+1)/(Skill_Matching!$D$2:$D$200&lt;&gt;""),ROWS($A$5:A47))))</f>
        <v>Industry Only</v>
      </c>
      <c r="C47" s="40" t="str">
        <f t="shared" si="0"/>
        <v>Tier 4</v>
      </c>
      <c r="D47" s="37" t="str">
        <f>_xlfn.XLOOKUP(A47,Skill_Matching!$A$2:$A$200,Skill_Matching!$J$2:$J$200,"")</f>
        <v>Domain Applications</v>
      </c>
      <c r="E47" s="40">
        <f>_xlfn.XLOOKUP(A47,Skill_Matching!$A$2:$A$200,Skill_Matching!$D$2:$D$200,"")</f>
        <v>3.08</v>
      </c>
      <c r="F47">
        <f t="shared" si="1"/>
        <v>0</v>
      </c>
      <c r="G47">
        <f t="shared" si="2"/>
        <v>0</v>
      </c>
    </row>
    <row r="48" spans="1:7">
      <c r="A48" s="17" t="str" cm="1">
        <f t="array" ref="A48">IFERROR(INDEX(Skill_Matching!$A$2:$A$200,_xlfn.AGGREGATE(15,6,(ROW(Skill_Matching!$A$2:$A$200)-ROW(Skill_Matching!$A$2)+1)/(Skill_Matching!$D$2:$D$200&lt;&gt;""),ROWS($A$5:A48))),"")</f>
        <v>Data Preprocessing &amp; Augmentation</v>
      </c>
      <c r="B48" s="13" t="str" cm="1">
        <f t="array" ref="B48">IF(A48="","",INDEX(Skill_Matching!$H$2:$H$200,_xlfn.AGGREGATE(15,6,(ROW(Skill_Matching!$A$2:$A$200)-ROW(Skill_Matching!$A$2)+1)/(Skill_Matching!$D$2:$D$200&lt;&gt;""),ROWS($A$5:A48))))</f>
        <v>Partially Covered</v>
      </c>
      <c r="C48" s="40" t="str">
        <f t="shared" si="0"/>
        <v>Tier 4</v>
      </c>
      <c r="D48" s="37" t="str">
        <f>_xlfn.XLOOKUP(A48,Skill_Matching!$A$2:$A$200,Skill_Matching!$J$2:$J$200,"")</f>
        <v>Data Analysis &amp; Statistics</v>
      </c>
      <c r="E48" s="40">
        <f>_xlfn.XLOOKUP(A48,Skill_Matching!$A$2:$A$200,Skill_Matching!$D$2:$D$200,"")</f>
        <v>3.08</v>
      </c>
      <c r="F48">
        <f t="shared" si="1"/>
        <v>0</v>
      </c>
      <c r="G48">
        <f t="shared" si="2"/>
        <v>1</v>
      </c>
    </row>
    <row r="49" spans="1:7">
      <c r="A49" s="17" t="str" cm="1">
        <f t="array" ref="A49">IFERROR(INDEX(Skill_Matching!$A$2:$A$200,_xlfn.AGGREGATE(15,6,(ROW(Skill_Matching!$A$2:$A$200)-ROW(Skill_Matching!$A$2)+1)/(Skill_Matching!$D$2:$D$200&lt;&gt;""),ROWS($A$5:A49))),"")</f>
        <v>Hugging Face Transformers</v>
      </c>
      <c r="B49" s="13" t="str" cm="1">
        <f t="array" ref="B49">IF(A49="","",INDEX(Skill_Matching!$H$2:$H$200,_xlfn.AGGREGATE(15,6,(ROW(Skill_Matching!$A$2:$A$200)-ROW(Skill_Matching!$A$2)+1)/(Skill_Matching!$D$2:$D$200&lt;&gt;""),ROWS($A$5:A49))))</f>
        <v>Industry Only</v>
      </c>
      <c r="C49" s="40" t="str">
        <f t="shared" si="0"/>
        <v>Tier 4</v>
      </c>
      <c r="D49" s="37" t="str">
        <f>_xlfn.XLOOKUP(A49,Skill_Matching!$A$2:$A$200,Skill_Matching!$J$2:$J$200,"")</f>
        <v>Generative AI &amp; NLP</v>
      </c>
      <c r="E49" s="40">
        <f>_xlfn.XLOOKUP(A49,Skill_Matching!$A$2:$A$200,Skill_Matching!$D$2:$D$200,"")</f>
        <v>3.08</v>
      </c>
      <c r="F49">
        <f t="shared" si="1"/>
        <v>0</v>
      </c>
      <c r="G49">
        <f t="shared" si="2"/>
        <v>0</v>
      </c>
    </row>
    <row r="50" spans="1:7">
      <c r="A50" s="17" t="str" cm="1">
        <f t="array" ref="A50">IFERROR(INDEX(Skill_Matching!$A$2:$A$200,_xlfn.AGGREGATE(15,6,(ROW(Skill_Matching!$A$2:$A$200)-ROW(Skill_Matching!$A$2)+1)/(Skill_Matching!$D$2:$D$200&lt;&gt;""),ROWS($A$5:A50))),"")</f>
        <v>Model Deployment</v>
      </c>
      <c r="B50" s="13" t="str" cm="1">
        <f t="array" ref="B50">IF(A50="","",INDEX(Skill_Matching!$H$2:$H$200,_xlfn.AGGREGATE(15,6,(ROW(Skill_Matching!$A$2:$A$200)-ROW(Skill_Matching!$A$2)+1)/(Skill_Matching!$D$2:$D$200&lt;&gt;""),ROWS($A$5:A50))))</f>
        <v>Industry Only</v>
      </c>
      <c r="C50" s="40" t="str">
        <f t="shared" si="0"/>
        <v>Tier 4</v>
      </c>
      <c r="D50" s="37" t="str">
        <f>_xlfn.XLOOKUP(A50,Skill_Matching!$A$2:$A$200,Skill_Matching!$J$2:$J$200,"")</f>
        <v>Cloud &amp; MLOps</v>
      </c>
      <c r="E50" s="40">
        <f>_xlfn.XLOOKUP(A50,Skill_Matching!$A$2:$A$200,Skill_Matching!$D$2:$D$200,"")</f>
        <v>3.08</v>
      </c>
      <c r="F50">
        <f t="shared" si="1"/>
        <v>0</v>
      </c>
      <c r="G50">
        <f t="shared" si="2"/>
        <v>0</v>
      </c>
    </row>
    <row r="51" spans="1:7">
      <c r="A51" s="17" t="str" cm="1">
        <f t="array" ref="A51">IFERROR(INDEX(Skill_Matching!$A$2:$A$200,_xlfn.AGGREGATE(15,6,(ROW(Skill_Matching!$A$2:$A$200)-ROW(Skill_Matching!$A$2)+1)/(Skill_Matching!$D$2:$D$200&lt;&gt;""),ROWS($A$5:A51))),"")</f>
        <v>Model Evaluation</v>
      </c>
      <c r="B51" s="13" t="str" cm="1">
        <f t="array" ref="B51">IF(A51="","",INDEX(Skill_Matching!$H$2:$H$200,_xlfn.AGGREGATE(15,6,(ROW(Skill_Matching!$A$2:$A$200)-ROW(Skill_Matching!$A$2)+1)/(Skill_Matching!$D$2:$D$200&lt;&gt;""),ROWS($A$5:A51))))</f>
        <v>Partially Covered</v>
      </c>
      <c r="C51" s="40" t="str">
        <f t="shared" si="0"/>
        <v>Tier 4</v>
      </c>
      <c r="D51" s="37" t="str">
        <f>_xlfn.XLOOKUP(A51,Skill_Matching!$A$2:$A$200,Skill_Matching!$J$2:$J$200,"")</f>
        <v>Machine Learning</v>
      </c>
      <c r="E51" s="40">
        <f>_xlfn.XLOOKUP(A51,Skill_Matching!$A$2:$A$200,Skill_Matching!$D$2:$D$200,"")</f>
        <v>3.08</v>
      </c>
      <c r="F51">
        <f t="shared" si="1"/>
        <v>0</v>
      </c>
      <c r="G51">
        <f t="shared" si="2"/>
        <v>1</v>
      </c>
    </row>
    <row r="52" spans="1:7">
      <c r="A52" s="17" t="str" cm="1">
        <f t="array" ref="A52">IFERROR(INDEX(Skill_Matching!$A$2:$A$200,_xlfn.AGGREGATE(15,6,(ROW(Skill_Matching!$A$2:$A$200)-ROW(Skill_Matching!$A$2)+1)/(Skill_Matching!$D$2:$D$200&lt;&gt;""),ROWS($A$5:A52))),"")</f>
        <v>Multi-Agent Systems</v>
      </c>
      <c r="B52" s="13" t="str" cm="1">
        <f t="array" ref="B52">IF(A52="","",INDEX(Skill_Matching!$H$2:$H$200,_xlfn.AGGREGATE(15,6,(ROW(Skill_Matching!$A$2:$A$200)-ROW(Skill_Matching!$A$2)+1)/(Skill_Matching!$D$2:$D$200&lt;&gt;""),ROWS($A$5:A52))))</f>
        <v>Industry Only</v>
      </c>
      <c r="C52" s="40" t="str">
        <f t="shared" si="0"/>
        <v>Tier 4</v>
      </c>
      <c r="D52" s="37" t="str">
        <f>_xlfn.XLOOKUP(A52,Skill_Matching!$A$2:$A$200,Skill_Matching!$J$2:$J$200,"")</f>
        <v>Generative AI &amp; NLP</v>
      </c>
      <c r="E52" s="40">
        <f>_xlfn.XLOOKUP(A52,Skill_Matching!$A$2:$A$200,Skill_Matching!$D$2:$D$200,"")</f>
        <v>3.08</v>
      </c>
      <c r="F52">
        <f t="shared" si="1"/>
        <v>0</v>
      </c>
      <c r="G52">
        <f t="shared" si="2"/>
        <v>0</v>
      </c>
    </row>
    <row r="53" spans="1:7">
      <c r="A53" s="17" t="str" cm="1">
        <f t="array" ref="A53">IFERROR(INDEX(Skill_Matching!$A$2:$A$200,_xlfn.AGGREGATE(15,6,(ROW(Skill_Matching!$A$2:$A$200)-ROW(Skill_Matching!$A$2)+1)/(Skill_Matching!$D$2:$D$200&lt;&gt;""),ROWS($A$5:A53))),"")</f>
        <v>Predictive Modeling</v>
      </c>
      <c r="B53" s="13" t="str" cm="1">
        <f t="array" ref="B53">IF(A53="","",INDEX(Skill_Matching!$H$2:$H$200,_xlfn.AGGREGATE(15,6,(ROW(Skill_Matching!$A$2:$A$200)-ROW(Skill_Matching!$A$2)+1)/(Skill_Matching!$D$2:$D$200&lt;&gt;""),ROWS($A$5:A53))))</f>
        <v>Partially Covered</v>
      </c>
      <c r="C53" s="40" t="str">
        <f t="shared" si="0"/>
        <v>Tier 4</v>
      </c>
      <c r="D53" s="37" t="str">
        <f>_xlfn.XLOOKUP(A53,Skill_Matching!$A$2:$A$200,Skill_Matching!$J$2:$J$200,"")</f>
        <v>Machine Learning</v>
      </c>
      <c r="E53" s="40">
        <f>_xlfn.XLOOKUP(A53,Skill_Matching!$A$2:$A$200,Skill_Matching!$D$2:$D$200,"")</f>
        <v>3.08</v>
      </c>
      <c r="F53">
        <f t="shared" si="1"/>
        <v>0</v>
      </c>
      <c r="G53">
        <f t="shared" si="2"/>
        <v>1</v>
      </c>
    </row>
    <row r="54" spans="1:7">
      <c r="A54" s="17" t="str" cm="1">
        <f t="array" ref="A54">IFERROR(INDEX(Skill_Matching!$A$2:$A$200,_xlfn.AGGREGATE(15,6,(ROW(Skill_Matching!$A$2:$A$200)-ROW(Skill_Matching!$A$2)+1)/(Skill_Matching!$D$2:$D$200&lt;&gt;""),ROWS($A$5:A54))),"")</f>
        <v>Statistical Modeling</v>
      </c>
      <c r="B54" s="13" t="str" cm="1">
        <f t="array" ref="B54">IF(A54="","",INDEX(Skill_Matching!$H$2:$H$200,_xlfn.AGGREGATE(15,6,(ROW(Skill_Matching!$A$2:$A$200)-ROW(Skill_Matching!$A$2)+1)/(Skill_Matching!$D$2:$D$200&lt;&gt;""),ROWS($A$5:A54))))</f>
        <v>Partially Covered</v>
      </c>
      <c r="C54" s="40" t="str">
        <f t="shared" si="0"/>
        <v>Tier 4</v>
      </c>
      <c r="D54" s="37" t="str">
        <f>_xlfn.XLOOKUP(A54,Skill_Matching!$A$2:$A$200,Skill_Matching!$J$2:$J$200,"")</f>
        <v>Data Analysis &amp; Statistics</v>
      </c>
      <c r="E54" s="40">
        <f>_xlfn.XLOOKUP(A54,Skill_Matching!$A$2:$A$200,Skill_Matching!$D$2:$D$200,"")</f>
        <v>3.08</v>
      </c>
      <c r="F54">
        <f t="shared" si="1"/>
        <v>0</v>
      </c>
      <c r="G54">
        <f t="shared" si="2"/>
        <v>1</v>
      </c>
    </row>
    <row r="55" spans="1:7">
      <c r="A55" s="17" t="str" cm="1">
        <f t="array" ref="A55">IFERROR(INDEX(Skill_Matching!$A$2:$A$200,_xlfn.AGGREGATE(15,6,(ROW(Skill_Matching!$A$2:$A$200)-ROW(Skill_Matching!$A$2)+1)/(Skill_Matching!$D$2:$D$200&lt;&gt;""),ROWS($A$5:A55))),"")</f>
        <v>Supervised Learning</v>
      </c>
      <c r="B55" s="13" t="str" cm="1">
        <f t="array" ref="B55">IF(A55="","",INDEX(Skill_Matching!$H$2:$H$200,_xlfn.AGGREGATE(15,6,(ROW(Skill_Matching!$A$2:$A$200)-ROW(Skill_Matching!$A$2)+1)/(Skill_Matching!$D$2:$D$200&lt;&gt;""),ROWS($A$5:A55))))</f>
        <v>Partially Covered</v>
      </c>
      <c r="C55" s="40" t="str">
        <f t="shared" si="0"/>
        <v>Tier 4</v>
      </c>
      <c r="D55" s="37" t="str">
        <f>_xlfn.XLOOKUP(A55,Skill_Matching!$A$2:$A$200,Skill_Matching!$J$2:$J$200,"")</f>
        <v>Machine Learning</v>
      </c>
      <c r="E55" s="40">
        <f>_xlfn.XLOOKUP(A55,Skill_Matching!$A$2:$A$200,Skill_Matching!$D$2:$D$200,"")</f>
        <v>3.08</v>
      </c>
      <c r="F55">
        <f t="shared" si="1"/>
        <v>0</v>
      </c>
      <c r="G55">
        <f t="shared" si="2"/>
        <v>1</v>
      </c>
    </row>
    <row r="56" spans="1:7">
      <c r="A56" s="17" t="str" cm="1">
        <f t="array" ref="A56">IFERROR(INDEX(Skill_Matching!$A$2:$A$200,_xlfn.AGGREGATE(15,6,(ROW(Skill_Matching!$A$2:$A$200)-ROW(Skill_Matching!$A$2)+1)/(Skill_Matching!$D$2:$D$200&lt;&gt;""),ROWS($A$5:A56))),"")</f>
        <v>Tableau</v>
      </c>
      <c r="B56" s="13" t="str" cm="1">
        <f t="array" ref="B56">IF(A56="","",INDEX(Skill_Matching!$H$2:$H$200,_xlfn.AGGREGATE(15,6,(ROW(Skill_Matching!$A$2:$A$200)-ROW(Skill_Matching!$A$2)+1)/(Skill_Matching!$D$2:$D$200&lt;&gt;""),ROWS($A$5:A56))))</f>
        <v>Covered</v>
      </c>
      <c r="C56" s="40" t="str">
        <f t="shared" si="0"/>
        <v>Tier 4</v>
      </c>
      <c r="D56" s="37" t="str">
        <f>_xlfn.XLOOKUP(A56,Skill_Matching!$A$2:$A$200,Skill_Matching!$J$2:$J$200,"")</f>
        <v>Data Visualization &amp; BI</v>
      </c>
      <c r="E56" s="40">
        <f>_xlfn.XLOOKUP(A56,Skill_Matching!$A$2:$A$200,Skill_Matching!$D$2:$D$200,"")</f>
        <v>3.08</v>
      </c>
      <c r="F56">
        <f t="shared" si="1"/>
        <v>1</v>
      </c>
      <c r="G56">
        <f t="shared" si="2"/>
        <v>1</v>
      </c>
    </row>
    <row r="57" spans="1:7" ht="30.75">
      <c r="A57" s="17" t="str" cm="1">
        <f t="array" ref="A57">IFERROR(INDEX(Skill_Matching!$A$2:$A$200,_xlfn.AGGREGATE(15,6,(ROW(Skill_Matching!$A$2:$A$200)-ROW(Skill_Matching!$A$2)+1)/(Skill_Matching!$D$2:$D$200&lt;&gt;""),ROWS($A$5:A57))),"")</f>
        <v>Agent Evaluation Frameworks (RAGAS / LLM-as-Judge)</v>
      </c>
      <c r="B57" s="13" t="str" cm="1">
        <f t="array" ref="B57">IF(A57="","",INDEX(Skill_Matching!$H$2:$H$200,_xlfn.AGGREGATE(15,6,(ROW(Skill_Matching!$A$2:$A$200)-ROW(Skill_Matching!$A$2)+1)/(Skill_Matching!$D$2:$D$200&lt;&gt;""),ROWS($A$5:A57))))</f>
        <v>Industry Only</v>
      </c>
      <c r="C57" s="40" t="str">
        <f t="shared" si="0"/>
        <v>Tier 4</v>
      </c>
      <c r="D57" s="37" t="str">
        <f>_xlfn.XLOOKUP(A57,Skill_Matching!$A$2:$A$200,Skill_Matching!$J$2:$J$200,"")</f>
        <v>Generative AI &amp; NLP</v>
      </c>
      <c r="E57" s="40">
        <f>_xlfn.XLOOKUP(A57,Skill_Matching!$A$2:$A$200,Skill_Matching!$D$2:$D$200,"")</f>
        <v>2.31</v>
      </c>
      <c r="F57">
        <f t="shared" si="1"/>
        <v>0</v>
      </c>
      <c r="G57">
        <f t="shared" si="2"/>
        <v>0</v>
      </c>
    </row>
    <row r="58" spans="1:7">
      <c r="A58" s="17" t="str" cm="1">
        <f t="array" ref="A58">IFERROR(INDEX(Skill_Matching!$A$2:$A$200,_xlfn.AGGREGATE(15,6,(ROW(Skill_Matching!$A$2:$A$200)-ROW(Skill_Matching!$A$2)+1)/(Skill_Matching!$D$2:$D$200&lt;&gt;""),ROWS($A$5:A58))),"")</f>
        <v>Agentic AI / Agent Benchmarking</v>
      </c>
      <c r="B58" s="13" t="str" cm="1">
        <f t="array" ref="B58">IF(A58="","",INDEX(Skill_Matching!$H$2:$H$200,_xlfn.AGGREGATE(15,6,(ROW(Skill_Matching!$A$2:$A$200)-ROW(Skill_Matching!$A$2)+1)/(Skill_Matching!$D$2:$D$200&lt;&gt;""),ROWS($A$5:A58))))</f>
        <v>Industry Only</v>
      </c>
      <c r="C58" s="40" t="str">
        <f t="shared" si="0"/>
        <v>Tier 4</v>
      </c>
      <c r="D58" s="37" t="str">
        <f>_xlfn.XLOOKUP(A58,Skill_Matching!$A$2:$A$200,Skill_Matching!$J$2:$J$200,"")</f>
        <v>Generative AI &amp; NLP</v>
      </c>
      <c r="E58" s="40">
        <f>_xlfn.XLOOKUP(A58,Skill_Matching!$A$2:$A$200,Skill_Matching!$D$2:$D$200,"")</f>
        <v>2.31</v>
      </c>
      <c r="F58">
        <f t="shared" si="1"/>
        <v>0</v>
      </c>
      <c r="G58">
        <f t="shared" si="2"/>
        <v>0</v>
      </c>
    </row>
    <row r="59" spans="1:7">
      <c r="A59" s="17" t="str" cm="1">
        <f t="array" ref="A59">IFERROR(INDEX(Skill_Matching!$A$2:$A$200,_xlfn.AGGREGATE(15,6,(ROW(Skill_Matching!$A$2:$A$200)-ROW(Skill_Matching!$A$2)+1)/(Skill_Matching!$D$2:$D$200&lt;&gt;""),ROWS($A$5:A59))),"")</f>
        <v>Customer Segmentation</v>
      </c>
      <c r="B59" s="13" t="str" cm="1">
        <f t="array" ref="B59">IF(A59="","",INDEX(Skill_Matching!$H$2:$H$200,_xlfn.AGGREGATE(15,6,(ROW(Skill_Matching!$A$2:$A$200)-ROW(Skill_Matching!$A$2)+1)/(Skill_Matching!$D$2:$D$200&lt;&gt;""),ROWS($A$5:A59))))</f>
        <v>Partially Covered</v>
      </c>
      <c r="C59" s="40" t="str">
        <f t="shared" si="0"/>
        <v>Tier 4</v>
      </c>
      <c r="D59" s="37" t="str">
        <f>_xlfn.XLOOKUP(A59,Skill_Matching!$A$2:$A$200,Skill_Matching!$J$2:$J$200,"")</f>
        <v>Domain Applications</v>
      </c>
      <c r="E59" s="40">
        <f>_xlfn.XLOOKUP(A59,Skill_Matching!$A$2:$A$200,Skill_Matching!$D$2:$D$200,"")</f>
        <v>2.31</v>
      </c>
      <c r="F59">
        <f t="shared" si="1"/>
        <v>0</v>
      </c>
      <c r="G59">
        <f t="shared" si="2"/>
        <v>1</v>
      </c>
    </row>
    <row r="60" spans="1:7">
      <c r="A60" s="17" t="str" cm="1">
        <f t="array" ref="A60">IFERROR(INDEX(Skill_Matching!$A$2:$A$200,_xlfn.AGGREGATE(15,6,(ROW(Skill_Matching!$A$2:$A$200)-ROW(Skill_Matching!$A$2)+1)/(Skill_Matching!$D$2:$D$200&lt;&gt;""),ROWS($A$5:A60))),"")</f>
        <v>Fraud Detection &amp; Risk Analytics</v>
      </c>
      <c r="B60" s="13" t="str" cm="1">
        <f t="array" ref="B60">IF(A60="","",INDEX(Skill_Matching!$H$2:$H$200,_xlfn.AGGREGATE(15,6,(ROW(Skill_Matching!$A$2:$A$200)-ROW(Skill_Matching!$A$2)+1)/(Skill_Matching!$D$2:$D$200&lt;&gt;""),ROWS($A$5:A60))))</f>
        <v>Industry Only</v>
      </c>
      <c r="C60" s="40" t="str">
        <f t="shared" si="0"/>
        <v>Tier 4</v>
      </c>
      <c r="D60" s="37" t="str">
        <f>_xlfn.XLOOKUP(A60,Skill_Matching!$A$2:$A$200,Skill_Matching!$J$2:$J$200,"")</f>
        <v>Domain Applications</v>
      </c>
      <c r="E60" s="40">
        <f>_xlfn.XLOOKUP(A60,Skill_Matching!$A$2:$A$200,Skill_Matching!$D$2:$D$200,"")</f>
        <v>2.31</v>
      </c>
      <c r="F60">
        <f t="shared" si="1"/>
        <v>0</v>
      </c>
      <c r="G60">
        <f t="shared" si="2"/>
        <v>0</v>
      </c>
    </row>
    <row r="61" spans="1:7">
      <c r="A61" s="17" t="str" cm="1">
        <f t="array" ref="A61">IFERROR(INDEX(Skill_Matching!$A$2:$A$200,_xlfn.AGGREGATE(15,6,(ROW(Skill_Matching!$A$2:$A$200)-ROW(Skill_Matching!$A$2)+1)/(Skill_Matching!$D$2:$D$200&lt;&gt;""),ROWS($A$5:A61))),"")</f>
        <v>NoSQL Databases</v>
      </c>
      <c r="B61" s="13" t="str" cm="1">
        <f t="array" ref="B61">IF(A61="","",INDEX(Skill_Matching!$H$2:$H$200,_xlfn.AGGREGATE(15,6,(ROW(Skill_Matching!$A$2:$A$200)-ROW(Skill_Matching!$A$2)+1)/(Skill_Matching!$D$2:$D$200&lt;&gt;""),ROWS($A$5:A61))))</f>
        <v>Covered</v>
      </c>
      <c r="C61" s="40" t="str">
        <f t="shared" si="0"/>
        <v>Tier 4</v>
      </c>
      <c r="D61" s="37" t="str">
        <f>_xlfn.XLOOKUP(A61,Skill_Matching!$A$2:$A$200,Skill_Matching!$J$2:$J$200,"")</f>
        <v>Databases &amp; SQL</v>
      </c>
      <c r="E61" s="40">
        <f>_xlfn.XLOOKUP(A61,Skill_Matching!$A$2:$A$200,Skill_Matching!$D$2:$D$200,"")</f>
        <v>2.31</v>
      </c>
      <c r="F61">
        <f t="shared" si="1"/>
        <v>1</v>
      </c>
      <c r="G61">
        <f t="shared" si="2"/>
        <v>1</v>
      </c>
    </row>
    <row r="62" spans="1:7">
      <c r="A62" s="17" t="str" cm="1">
        <f t="array" ref="A62">IFERROR(INDEX(Skill_Matching!$A$2:$A$200,_xlfn.AGGREGATE(15,6,(ROW(Skill_Matching!$A$2:$A$200)-ROW(Skill_Matching!$A$2)+1)/(Skill_Matching!$D$2:$D$200&lt;&gt;""),ROWS($A$5:A62))),"")</f>
        <v>REST APIs (Flask / FastAPI)</v>
      </c>
      <c r="B62" s="13" t="str" cm="1">
        <f t="array" ref="B62">IF(A62="","",INDEX(Skill_Matching!$H$2:$H$200,_xlfn.AGGREGATE(15,6,(ROW(Skill_Matching!$A$2:$A$200)-ROW(Skill_Matching!$A$2)+1)/(Skill_Matching!$D$2:$D$200&lt;&gt;""),ROWS($A$5:A62))))</f>
        <v>Industry Only</v>
      </c>
      <c r="C62" s="40" t="str">
        <f t="shared" si="0"/>
        <v>Tier 4</v>
      </c>
      <c r="D62" s="37" t="str">
        <f>_xlfn.XLOOKUP(A62,Skill_Matching!$A$2:$A$200,Skill_Matching!$J$2:$J$200,"")</f>
        <v>Software Engineering</v>
      </c>
      <c r="E62" s="40">
        <f>_xlfn.XLOOKUP(A62,Skill_Matching!$A$2:$A$200,Skill_Matching!$D$2:$D$200,"")</f>
        <v>2.31</v>
      </c>
      <c r="F62">
        <f t="shared" si="1"/>
        <v>0</v>
      </c>
      <c r="G62">
        <f t="shared" si="2"/>
        <v>0</v>
      </c>
    </row>
    <row r="63" spans="1:7">
      <c r="A63" s="17" t="str" cm="1">
        <f t="array" ref="A63">IFERROR(INDEX(Skill_Matching!$A$2:$A$200,_xlfn.AGGREGATE(15,6,(ROW(Skill_Matching!$A$2:$A$200)-ROW(Skill_Matching!$A$2)+1)/(Skill_Matching!$D$2:$D$200&lt;&gt;""),ROWS($A$5:A63))),"")</f>
        <v>React / Frontend Frameworks</v>
      </c>
      <c r="B63" s="13" t="str" cm="1">
        <f t="array" ref="B63">IF(A63="","",INDEX(Skill_Matching!$H$2:$H$200,_xlfn.AGGREGATE(15,6,(ROW(Skill_Matching!$A$2:$A$200)-ROW(Skill_Matching!$A$2)+1)/(Skill_Matching!$D$2:$D$200&lt;&gt;""),ROWS($A$5:A63))))</f>
        <v>Partially Covered</v>
      </c>
      <c r="C63" s="40" t="str">
        <f t="shared" si="0"/>
        <v>Tier 4</v>
      </c>
      <c r="D63" s="37" t="str">
        <f>_xlfn.XLOOKUP(A63,Skill_Matching!$A$2:$A$200,Skill_Matching!$J$2:$J$200,"")</f>
        <v>Software Engineering</v>
      </c>
      <c r="E63" s="40">
        <f>_xlfn.XLOOKUP(A63,Skill_Matching!$A$2:$A$200,Skill_Matching!$D$2:$D$200,"")</f>
        <v>2.31</v>
      </c>
      <c r="F63">
        <f t="shared" si="1"/>
        <v>0</v>
      </c>
      <c r="G63">
        <f t="shared" si="2"/>
        <v>1</v>
      </c>
    </row>
    <row r="64" spans="1:7">
      <c r="A64" s="17" t="str" cm="1">
        <f t="array" ref="A64">IFERROR(INDEX(Skill_Matching!$A$2:$A$200,_xlfn.AGGREGATE(15,6,(ROW(Skill_Matching!$A$2:$A$200)-ROW(Skill_Matching!$A$2)+1)/(Skill_Matching!$D$2:$D$200&lt;&gt;""),ROWS($A$5:A64))),"")</f>
        <v>Recommendation Systems</v>
      </c>
      <c r="B64" s="13" t="str" cm="1">
        <f t="array" ref="B64">IF(A64="","",INDEX(Skill_Matching!$H$2:$H$200,_xlfn.AGGREGATE(15,6,(ROW(Skill_Matching!$A$2:$A$200)-ROW(Skill_Matching!$A$2)+1)/(Skill_Matching!$D$2:$D$200&lt;&gt;""),ROWS($A$5:A64))))</f>
        <v>Industry Only</v>
      </c>
      <c r="C64" s="40" t="str">
        <f t="shared" si="0"/>
        <v>Tier 4</v>
      </c>
      <c r="D64" s="37" t="str">
        <f>_xlfn.XLOOKUP(A64,Skill_Matching!$A$2:$A$200,Skill_Matching!$J$2:$J$200,"")</f>
        <v>Machine Learning</v>
      </c>
      <c r="E64" s="40">
        <f>_xlfn.XLOOKUP(A64,Skill_Matching!$A$2:$A$200,Skill_Matching!$D$2:$D$200,"")</f>
        <v>2.31</v>
      </c>
      <c r="F64">
        <f t="shared" si="1"/>
        <v>0</v>
      </c>
      <c r="G64">
        <f t="shared" si="2"/>
        <v>0</v>
      </c>
    </row>
    <row r="65" spans="1:7">
      <c r="A65" s="17" t="str" cm="1">
        <f t="array" ref="A65">IFERROR(INDEX(Skill_Matching!$A$2:$A$200,_xlfn.AGGREGATE(15,6,(ROW(Skill_Matching!$A$2:$A$200)-ROW(Skill_Matching!$A$2)+1)/(Skill_Matching!$D$2:$D$200&lt;&gt;""),ROWS($A$5:A65))),"")</f>
        <v>SQL / Relational Databases</v>
      </c>
      <c r="B65" s="13" t="str" cm="1">
        <f t="array" ref="B65">IF(A65="","",INDEX(Skill_Matching!$H$2:$H$200,_xlfn.AGGREGATE(15,6,(ROW(Skill_Matching!$A$2:$A$200)-ROW(Skill_Matching!$A$2)+1)/(Skill_Matching!$D$2:$D$200&lt;&gt;""),ROWS($A$5:A65))))</f>
        <v>Covered</v>
      </c>
      <c r="C65" s="40" t="str">
        <f t="shared" si="0"/>
        <v>Tier 4</v>
      </c>
      <c r="D65" s="37" t="str">
        <f>_xlfn.XLOOKUP(A65,Skill_Matching!$A$2:$A$200,Skill_Matching!$J$2:$J$200,"")</f>
        <v>Databases &amp; SQL</v>
      </c>
      <c r="E65" s="40">
        <f>_xlfn.XLOOKUP(A65,Skill_Matching!$A$2:$A$200,Skill_Matching!$D$2:$D$200,"")</f>
        <v>2.31</v>
      </c>
      <c r="F65">
        <f t="shared" si="1"/>
        <v>1</v>
      </c>
      <c r="G65">
        <f t="shared" si="2"/>
        <v>1</v>
      </c>
    </row>
    <row r="66" spans="1:7">
      <c r="A66" s="17" t="str" cm="1">
        <f t="array" ref="A66">IFERROR(INDEX(Skill_Matching!$A$2:$A$200,_xlfn.AGGREGATE(15,6,(ROW(Skill_Matching!$A$2:$A$200)-ROW(Skill_Matching!$A$2)+1)/(Skill_Matching!$D$2:$D$200&lt;&gt;""),ROWS($A$5:A66))),"")</f>
        <v>Algorithms &amp; Data Structures</v>
      </c>
      <c r="B66" s="13" t="str" cm="1">
        <f t="array" ref="B66">IF(A66="","",INDEX(Skill_Matching!$H$2:$H$200,_xlfn.AGGREGATE(15,6,(ROW(Skill_Matching!$A$2:$A$200)-ROW(Skill_Matching!$A$2)+1)/(Skill_Matching!$D$2:$D$200&lt;&gt;""),ROWS($A$5:A66))))</f>
        <v>Covered</v>
      </c>
      <c r="C66" s="40" t="str">
        <f t="shared" si="0"/>
        <v>Tier 4</v>
      </c>
      <c r="D66" s="37" t="str">
        <f>_xlfn.XLOOKUP(A66,Skill_Matching!$A$2:$A$200,Skill_Matching!$J$2:$J$200,"")</f>
        <v>Software Engineering</v>
      </c>
      <c r="E66" s="40">
        <f>_xlfn.XLOOKUP(A66,Skill_Matching!$A$2:$A$200,Skill_Matching!$D$2:$D$200,"")</f>
        <v>1.54</v>
      </c>
      <c r="F66">
        <f t="shared" si="1"/>
        <v>1</v>
      </c>
      <c r="G66">
        <f t="shared" si="2"/>
        <v>1</v>
      </c>
    </row>
    <row r="67" spans="1:7">
      <c r="A67" s="17" t="str" cm="1">
        <f t="array" ref="A67">IFERROR(INDEX(Skill_Matching!$A$2:$A$200,_xlfn.AGGREGATE(15,6,(ROW(Skill_Matching!$A$2:$A$200)-ROW(Skill_Matching!$A$2)+1)/(Skill_Matching!$D$2:$D$200&lt;&gt;""),ROWS($A$5:A67))),"")</f>
        <v>Azure Databricks</v>
      </c>
      <c r="B67" s="13" t="str" cm="1">
        <f t="array" ref="B67">IF(A67="","",INDEX(Skill_Matching!$H$2:$H$200,_xlfn.AGGREGATE(15,6,(ROW(Skill_Matching!$A$2:$A$200)-ROW(Skill_Matching!$A$2)+1)/(Skill_Matching!$D$2:$D$200&lt;&gt;""),ROWS($A$5:A67))))</f>
        <v>Industry Only</v>
      </c>
      <c r="C67" s="40" t="str">
        <f t="shared" si="0"/>
        <v>Tier 4</v>
      </c>
      <c r="D67" s="37" t="str">
        <f>_xlfn.XLOOKUP(A67,Skill_Matching!$A$2:$A$200,Skill_Matching!$J$2:$J$200,"")</f>
        <v>Cloud &amp; MLOps</v>
      </c>
      <c r="E67" s="40">
        <f>_xlfn.XLOOKUP(A67,Skill_Matching!$A$2:$A$200,Skill_Matching!$D$2:$D$200,"")</f>
        <v>1.54</v>
      </c>
      <c r="F67">
        <f t="shared" si="1"/>
        <v>0</v>
      </c>
      <c r="G67">
        <f t="shared" si="2"/>
        <v>0</v>
      </c>
    </row>
    <row r="68" spans="1:7">
      <c r="A68" s="17" t="str" cm="1">
        <f t="array" ref="A68">IFERROR(INDEX(Skill_Matching!$A$2:$A$200,_xlfn.AGGREGATE(15,6,(ROW(Skill_Matching!$A$2:$A$200)-ROW(Skill_Matching!$A$2)+1)/(Skill_Matching!$D$2:$D$200&lt;&gt;""),ROWS($A$5:A68))),"")</f>
        <v>Bayesian Methods / Causal Inference</v>
      </c>
      <c r="B68" s="13" t="str" cm="1">
        <f t="array" ref="B68">IF(A68="","",INDEX(Skill_Matching!$H$2:$H$200,_xlfn.AGGREGATE(15,6,(ROW(Skill_Matching!$A$2:$A$200)-ROW(Skill_Matching!$A$2)+1)/(Skill_Matching!$D$2:$D$200&lt;&gt;""),ROWS($A$5:A68))))</f>
        <v>Covered</v>
      </c>
      <c r="C68" s="40" t="str">
        <f t="shared" si="0"/>
        <v>Tier 4</v>
      </c>
      <c r="D68" s="37" t="str">
        <f>_xlfn.XLOOKUP(A68,Skill_Matching!$A$2:$A$200,Skill_Matching!$J$2:$J$200,"")</f>
        <v>Data Analysis &amp; Statistics</v>
      </c>
      <c r="E68" s="40">
        <f>_xlfn.XLOOKUP(A68,Skill_Matching!$A$2:$A$200,Skill_Matching!$D$2:$D$200,"")</f>
        <v>1.54</v>
      </c>
      <c r="F68">
        <f t="shared" si="1"/>
        <v>1</v>
      </c>
      <c r="G68">
        <f t="shared" si="2"/>
        <v>1</v>
      </c>
    </row>
    <row r="69" spans="1:7">
      <c r="A69" s="17" t="str" cm="1">
        <f t="array" ref="A69">IFERROR(INDEX(Skill_Matching!$A$2:$A$200,_xlfn.AGGREGATE(15,6,(ROW(Skill_Matching!$A$2:$A$200)-ROW(Skill_Matching!$A$2)+1)/(Skill_Matching!$D$2:$D$200&lt;&gt;""),ROWS($A$5:A69))),"")</f>
        <v>C / C++</v>
      </c>
      <c r="B69" s="13" t="str" cm="1">
        <f t="array" ref="B69">IF(A69="","",INDEX(Skill_Matching!$H$2:$H$200,_xlfn.AGGREGATE(15,6,(ROW(Skill_Matching!$A$2:$A$200)-ROW(Skill_Matching!$A$2)+1)/(Skill_Matching!$D$2:$D$200&lt;&gt;""),ROWS($A$5:A69))))</f>
        <v>Covered</v>
      </c>
      <c r="C69" s="40" t="str">
        <f t="shared" si="0"/>
        <v>Tier 4</v>
      </c>
      <c r="D69" s="37" t="str">
        <f>_xlfn.XLOOKUP(A69,Skill_Matching!$A$2:$A$200,Skill_Matching!$J$2:$J$200,"")</f>
        <v>Programming Languages</v>
      </c>
      <c r="E69" s="40">
        <f>_xlfn.XLOOKUP(A69,Skill_Matching!$A$2:$A$200,Skill_Matching!$D$2:$D$200,"")</f>
        <v>1.54</v>
      </c>
      <c r="F69">
        <f t="shared" si="1"/>
        <v>1</v>
      </c>
      <c r="G69">
        <f t="shared" si="2"/>
        <v>1</v>
      </c>
    </row>
    <row r="70" spans="1:7">
      <c r="A70" s="17" t="str" cm="1">
        <f t="array" ref="A70">IFERROR(INDEX(Skill_Matching!$A$2:$A$200,_xlfn.AGGREGATE(15,6,(ROW(Skill_Matching!$A$2:$A$200)-ROW(Skill_Matching!$A$2)+1)/(Skill_Matching!$D$2:$D$200&lt;&gt;""),ROWS($A$5:A70))),"")</f>
        <v>CI/CD Workflows</v>
      </c>
      <c r="B70" s="13" t="str" cm="1">
        <f t="array" ref="B70">IF(A70="","",INDEX(Skill_Matching!$H$2:$H$200,_xlfn.AGGREGATE(15,6,(ROW(Skill_Matching!$A$2:$A$200)-ROW(Skill_Matching!$A$2)+1)/(Skill_Matching!$D$2:$D$200&lt;&gt;""),ROWS($A$5:A70))))</f>
        <v>Industry Only</v>
      </c>
      <c r="C70" s="40" t="str">
        <f t="shared" ref="C70:C85" si="3">IF(E70="","",IF(E70&gt;=50,"Tier 1",IF(E70&gt;=25,"Tier 2",IF(E70&gt;=10,"Tier 3","Tier 4"))))</f>
        <v>Tier 4</v>
      </c>
      <c r="D70" s="37" t="str">
        <f>_xlfn.XLOOKUP(A70,Skill_Matching!$A$2:$A$200,Skill_Matching!$J$2:$J$200,"")</f>
        <v>Cloud &amp; MLOps</v>
      </c>
      <c r="E70" s="40">
        <f>_xlfn.XLOOKUP(A70,Skill_Matching!$A$2:$A$200,Skill_Matching!$D$2:$D$200,"")</f>
        <v>1.54</v>
      </c>
      <c r="F70">
        <f t="shared" ref="F70:F90" si="4">IF(B70="Covered",1,0)</f>
        <v>0</v>
      </c>
      <c r="G70">
        <f t="shared" ref="G70:G90" si="5">IF(OR(B70="Covered",B70="Partially Covered"),1,0)</f>
        <v>0</v>
      </c>
    </row>
    <row r="71" spans="1:7">
      <c r="A71" s="17" t="str" cm="1">
        <f t="array" ref="A71">IFERROR(INDEX(Skill_Matching!$A$2:$A$200,_xlfn.AGGREGATE(15,6,(ROW(Skill_Matching!$A$2:$A$200)-ROW(Skill_Matching!$A$2)+1)/(Skill_Matching!$D$2:$D$200&lt;&gt;""),ROWS($A$5:A71))),"")</f>
        <v>Causal Inference</v>
      </c>
      <c r="B71" s="13" t="str" cm="1">
        <f t="array" ref="B71">IF(A71="","",INDEX(Skill_Matching!$H$2:$H$200,_xlfn.AGGREGATE(15,6,(ROW(Skill_Matching!$A$2:$A$200)-ROW(Skill_Matching!$A$2)+1)/(Skill_Matching!$D$2:$D$200&lt;&gt;""),ROWS($A$5:A71))))</f>
        <v>Partially Covered</v>
      </c>
      <c r="C71" s="40" t="str">
        <f t="shared" si="3"/>
        <v>Tier 4</v>
      </c>
      <c r="D71" s="37" t="str">
        <f>_xlfn.XLOOKUP(A71,Skill_Matching!$A$2:$A$200,Skill_Matching!$J$2:$J$200,"")</f>
        <v>Data Analysis &amp; Statistics</v>
      </c>
      <c r="E71" s="40">
        <f>_xlfn.XLOOKUP(A71,Skill_Matching!$A$2:$A$200,Skill_Matching!$D$2:$D$200,"")</f>
        <v>1.54</v>
      </c>
      <c r="F71">
        <f t="shared" si="4"/>
        <v>0</v>
      </c>
      <c r="G71">
        <f t="shared" si="5"/>
        <v>1</v>
      </c>
    </row>
    <row r="72" spans="1:7" ht="30.75">
      <c r="A72" s="17" t="str" cm="1">
        <f t="array" ref="A72">IFERROR(INDEX(Skill_Matching!$A$2:$A$200,_xlfn.AGGREGATE(15,6,(ROW(Skill_Matching!$A$2:$A$200)-ROW(Skill_Matching!$A$2)+1)/(Skill_Matching!$D$2:$D$200&lt;&gt;""),ROWS($A$5:A72))),"")</f>
        <v>Cloud Data Warehousing (BigQuery / Redshift)</v>
      </c>
      <c r="B72" s="13" t="str" cm="1">
        <f t="array" ref="B72">IF(A72="","",INDEX(Skill_Matching!$H$2:$H$200,_xlfn.AGGREGATE(15,6,(ROW(Skill_Matching!$A$2:$A$200)-ROW(Skill_Matching!$A$2)+1)/(Skill_Matching!$D$2:$D$200&lt;&gt;""),ROWS($A$5:A72))))</f>
        <v>Covered</v>
      </c>
      <c r="C72" s="40" t="str">
        <f t="shared" si="3"/>
        <v>Tier 4</v>
      </c>
      <c r="D72" s="37" t="str">
        <f>_xlfn.XLOOKUP(A72,Skill_Matching!$A$2:$A$200,Skill_Matching!$J$2:$J$200,"")</f>
        <v>Data Engineering &amp; Big Data</v>
      </c>
      <c r="E72" s="40">
        <f>_xlfn.XLOOKUP(A72,Skill_Matching!$A$2:$A$200,Skill_Matching!$D$2:$D$200,"")</f>
        <v>1.54</v>
      </c>
      <c r="F72">
        <f t="shared" si="4"/>
        <v>1</v>
      </c>
      <c r="G72">
        <f t="shared" si="5"/>
        <v>1</v>
      </c>
    </row>
    <row r="73" spans="1:7">
      <c r="A73" s="17" t="str" cm="1">
        <f t="array" ref="A73">IFERROR(INDEX(Skill_Matching!$A$2:$A$200,_xlfn.AGGREGATE(15,6,(ROW(Skill_Matching!$A$2:$A$200)-ROW(Skill_Matching!$A$2)+1)/(Skill_Matching!$D$2:$D$200&lt;&gt;""),ROWS($A$5:A73))),"")</f>
        <v>Computer Vision</v>
      </c>
      <c r="B73" s="13" t="str" cm="1">
        <f t="array" ref="B73">IF(A73="","",INDEX(Skill_Matching!$H$2:$H$200,_xlfn.AGGREGATE(15,6,(ROW(Skill_Matching!$A$2:$A$200)-ROW(Skill_Matching!$A$2)+1)/(Skill_Matching!$D$2:$D$200&lt;&gt;""),ROWS($A$5:A73))))</f>
        <v>Covered</v>
      </c>
      <c r="C73" s="40" t="str">
        <f t="shared" si="3"/>
        <v>Tier 4</v>
      </c>
      <c r="D73" s="37" t="str">
        <f>_xlfn.XLOOKUP(A73,Skill_Matching!$A$2:$A$200,Skill_Matching!$J$2:$J$200,"")</f>
        <v>Computer Vision</v>
      </c>
      <c r="E73" s="40">
        <f>_xlfn.XLOOKUP(A73,Skill_Matching!$A$2:$A$200,Skill_Matching!$D$2:$D$200,"")</f>
        <v>1.54</v>
      </c>
      <c r="F73">
        <f t="shared" si="4"/>
        <v>1</v>
      </c>
      <c r="G73">
        <f t="shared" si="5"/>
        <v>1</v>
      </c>
    </row>
    <row r="74" spans="1:7">
      <c r="A74" s="17" t="str" cm="1">
        <f t="array" ref="A74">IFERROR(INDEX(Skill_Matching!$A$2:$A$200,_xlfn.AGGREGATE(15,6,(ROW(Skill_Matching!$A$2:$A$200)-ROW(Skill_Matching!$A$2)+1)/(Skill_Matching!$D$2:$D$200&lt;&gt;""),ROWS($A$5:A74))),"")</f>
        <v>Computer Vision / Image Processing</v>
      </c>
      <c r="B74" s="13" t="str" cm="1">
        <f t="array" ref="B74">IF(A74="","",INDEX(Skill_Matching!$H$2:$H$200,_xlfn.AGGREGATE(15,6,(ROW(Skill_Matching!$A$2:$A$200)-ROW(Skill_Matching!$A$2)+1)/(Skill_Matching!$D$2:$D$200&lt;&gt;""),ROWS($A$5:A74))))</f>
        <v>Covered</v>
      </c>
      <c r="C74" s="40" t="str">
        <f t="shared" si="3"/>
        <v>Tier 4</v>
      </c>
      <c r="D74" s="37" t="str">
        <f>_xlfn.XLOOKUP(A74,Skill_Matching!$A$2:$A$200,Skill_Matching!$J$2:$J$200,"")</f>
        <v>Computer Vision</v>
      </c>
      <c r="E74" s="40">
        <f>_xlfn.XLOOKUP(A74,Skill_Matching!$A$2:$A$200,Skill_Matching!$D$2:$D$200,"")</f>
        <v>1.54</v>
      </c>
      <c r="F74">
        <f t="shared" si="4"/>
        <v>1</v>
      </c>
      <c r="G74">
        <f t="shared" si="5"/>
        <v>1</v>
      </c>
    </row>
    <row r="75" spans="1:7">
      <c r="A75" s="17" t="str" cm="1">
        <f t="array" ref="A75">IFERROR(INDEX(Skill_Matching!$A$2:$A$200,_xlfn.AGGREGATE(15,6,(ROW(Skill_Matching!$A$2:$A$200)-ROW(Skill_Matching!$A$2)+1)/(Skill_Matching!$D$2:$D$200&lt;&gt;""),ROWS($A$5:A75))),"")</f>
        <v>Data Mining</v>
      </c>
      <c r="B75" s="13" t="str" cm="1">
        <f t="array" ref="B75">IF(A75="","",INDEX(Skill_Matching!$H$2:$H$200,_xlfn.AGGREGATE(15,6,(ROW(Skill_Matching!$A$2:$A$200)-ROW(Skill_Matching!$A$2)+1)/(Skill_Matching!$D$2:$D$200&lt;&gt;""),ROWS($A$5:A75))))</f>
        <v>Covered</v>
      </c>
      <c r="C75" s="40" t="str">
        <f t="shared" si="3"/>
        <v>Tier 4</v>
      </c>
      <c r="D75" s="37" t="str">
        <f>_xlfn.XLOOKUP(A75,Skill_Matching!$A$2:$A$200,Skill_Matching!$J$2:$J$200,"")</f>
        <v>Data Analysis &amp; Statistics</v>
      </c>
      <c r="E75" s="40">
        <f>_xlfn.XLOOKUP(A75,Skill_Matching!$A$2:$A$200,Skill_Matching!$D$2:$D$200,"")</f>
        <v>1.54</v>
      </c>
      <c r="F75">
        <f t="shared" si="4"/>
        <v>1</v>
      </c>
      <c r="G75">
        <f t="shared" si="5"/>
        <v>1</v>
      </c>
    </row>
    <row r="76" spans="1:7">
      <c r="A76" s="17" t="str" cm="1">
        <f t="array" ref="A76">IFERROR(INDEX(Skill_Matching!$A$2:$A$200,_xlfn.AGGREGATE(15,6,(ROW(Skill_Matching!$A$2:$A$200)-ROW(Skill_Matching!$A$2)+1)/(Skill_Matching!$D$2:$D$200&lt;&gt;""),ROWS($A$5:A76))),"")</f>
        <v>Experimental Design &amp; A/B Testing</v>
      </c>
      <c r="B76" s="13" t="str" cm="1">
        <f t="array" ref="B76">IF(A76="","",INDEX(Skill_Matching!$H$2:$H$200,_xlfn.AGGREGATE(15,6,(ROW(Skill_Matching!$A$2:$A$200)-ROW(Skill_Matching!$A$2)+1)/(Skill_Matching!$D$2:$D$200&lt;&gt;""),ROWS($A$5:A76))))</f>
        <v>Industry Only</v>
      </c>
      <c r="C76" s="40" t="str">
        <f t="shared" si="3"/>
        <v>Tier 4</v>
      </c>
      <c r="D76" s="37" t="str">
        <f>_xlfn.XLOOKUP(A76,Skill_Matching!$A$2:$A$200,Skill_Matching!$J$2:$J$200,"")</f>
        <v>Data Analysis &amp; Statistics</v>
      </c>
      <c r="E76" s="40">
        <f>_xlfn.XLOOKUP(A76,Skill_Matching!$A$2:$A$200,Skill_Matching!$D$2:$D$200,"")</f>
        <v>1.54</v>
      </c>
      <c r="F76">
        <f t="shared" si="4"/>
        <v>0</v>
      </c>
      <c r="G76">
        <f t="shared" si="5"/>
        <v>0</v>
      </c>
    </row>
    <row r="77" spans="1:7">
      <c r="A77" s="17" t="str" cm="1">
        <f t="array" ref="A77">IFERROR(INDEX(Skill_Matching!$A$2:$A$200,_xlfn.AGGREGATE(15,6,(ROW(Skill_Matching!$A$2:$A$200)-ROW(Skill_Matching!$A$2)+1)/(Skill_Matching!$D$2:$D$200&lt;&gt;""),ROWS($A$5:A77))),"")</f>
        <v>Experimentation &amp; Model Fine-Tuning</v>
      </c>
      <c r="B77" s="13" t="str" cm="1">
        <f t="array" ref="B77">IF(A77="","",INDEX(Skill_Matching!$H$2:$H$200,_xlfn.AGGREGATE(15,6,(ROW(Skill_Matching!$A$2:$A$200)-ROW(Skill_Matching!$A$2)+1)/(Skill_Matching!$D$2:$D$200&lt;&gt;""),ROWS($A$5:A77))))</f>
        <v>Industry Only</v>
      </c>
      <c r="C77" s="40" t="str">
        <f t="shared" si="3"/>
        <v>Tier 4</v>
      </c>
      <c r="D77" s="37" t="str">
        <f>_xlfn.XLOOKUP(A77,Skill_Matching!$A$2:$A$200,Skill_Matching!$J$2:$J$200,"")</f>
        <v>Machine Learning</v>
      </c>
      <c r="E77" s="40">
        <f>_xlfn.XLOOKUP(A77,Skill_Matching!$A$2:$A$200,Skill_Matching!$D$2:$D$200,"")</f>
        <v>1.54</v>
      </c>
      <c r="F77">
        <f t="shared" si="4"/>
        <v>0</v>
      </c>
      <c r="G77">
        <f t="shared" si="5"/>
        <v>0</v>
      </c>
    </row>
    <row r="78" spans="1:7">
      <c r="A78" s="17" t="str" cm="1">
        <f t="array" ref="A78">IFERROR(INDEX(Skill_Matching!$A$2:$A$200,_xlfn.AGGREGATE(15,6,(ROW(Skill_Matching!$A$2:$A$200)-ROW(Skill_Matching!$A$2)+1)/(Skill_Matching!$D$2:$D$200&lt;&gt;""),ROWS($A$5:A78))),"")</f>
        <v>Fine-Tuning LLMs</v>
      </c>
      <c r="B78" s="13" t="str" cm="1">
        <f t="array" ref="B78">IF(A78="","",INDEX(Skill_Matching!$H$2:$H$200,_xlfn.AGGREGATE(15,6,(ROW(Skill_Matching!$A$2:$A$200)-ROW(Skill_Matching!$A$2)+1)/(Skill_Matching!$D$2:$D$200&lt;&gt;""),ROWS($A$5:A78))))</f>
        <v>Industry Only</v>
      </c>
      <c r="C78" s="40" t="str">
        <f t="shared" si="3"/>
        <v>Tier 4</v>
      </c>
      <c r="D78" s="37" t="str">
        <f>_xlfn.XLOOKUP(A78,Skill_Matching!$A$2:$A$200,Skill_Matching!$J$2:$J$200,"")</f>
        <v>Generative AI &amp; NLP</v>
      </c>
      <c r="E78" s="40">
        <f>_xlfn.XLOOKUP(A78,Skill_Matching!$A$2:$A$200,Skill_Matching!$D$2:$D$200,"")</f>
        <v>1.54</v>
      </c>
      <c r="F78">
        <f t="shared" si="4"/>
        <v>0</v>
      </c>
      <c r="G78">
        <f t="shared" si="5"/>
        <v>0</v>
      </c>
    </row>
    <row r="79" spans="1:7">
      <c r="A79" s="17" t="str" cm="1">
        <f t="array" ref="A79">IFERROR(INDEX(Skill_Matching!$A$2:$A$200,_xlfn.AGGREGATE(15,6,(ROW(Skill_Matching!$A$2:$A$200)-ROW(Skill_Matching!$A$2)+1)/(Skill_Matching!$D$2:$D$200&lt;&gt;""),ROWS($A$5:A79))),"")</f>
        <v>Large-Scale Data Processing / Big Data</v>
      </c>
      <c r="B79" s="13" t="str" cm="1">
        <f t="array" ref="B79">IF(A79="","",INDEX(Skill_Matching!$H$2:$H$200,_xlfn.AGGREGATE(15,6,(ROW(Skill_Matching!$A$2:$A$200)-ROW(Skill_Matching!$A$2)+1)/(Skill_Matching!$D$2:$D$200&lt;&gt;""),ROWS($A$5:A79))))</f>
        <v>Covered</v>
      </c>
      <c r="C79" s="40" t="str">
        <f t="shared" si="3"/>
        <v>Tier 4</v>
      </c>
      <c r="D79" s="37" t="str">
        <f>_xlfn.XLOOKUP(A79,Skill_Matching!$A$2:$A$200,Skill_Matching!$J$2:$J$200,"")</f>
        <v>Data Engineering &amp; Big Data</v>
      </c>
      <c r="E79" s="40">
        <f>_xlfn.XLOOKUP(A79,Skill_Matching!$A$2:$A$200,Skill_Matching!$D$2:$D$200,"")</f>
        <v>1.54</v>
      </c>
      <c r="F79">
        <f t="shared" si="4"/>
        <v>1</v>
      </c>
      <c r="G79">
        <f t="shared" si="5"/>
        <v>1</v>
      </c>
    </row>
    <row r="80" spans="1:7">
      <c r="A80" s="17" t="str" cm="1">
        <f t="array" ref="A80">IFERROR(INDEX(Skill_Matching!$A$2:$A$200,_xlfn.AGGREGATE(15,6,(ROW(Skill_Matching!$A$2:$A$200)-ROW(Skill_Matching!$A$2)+1)/(Skill_Matching!$D$2:$D$200&lt;&gt;""),ROWS($A$5:A80))),"")</f>
        <v>Model Evaluation &amp; Optimization</v>
      </c>
      <c r="B80" s="13" t="str" cm="1">
        <f t="array" ref="B80">IF(A80="","",INDEX(Skill_Matching!$H$2:$H$200,_xlfn.AGGREGATE(15,6,(ROW(Skill_Matching!$A$2:$A$200)-ROW(Skill_Matching!$A$2)+1)/(Skill_Matching!$D$2:$D$200&lt;&gt;""),ROWS($A$5:A80))))</f>
        <v>Partially Covered</v>
      </c>
      <c r="C80" s="40" t="str">
        <f t="shared" si="3"/>
        <v>Tier 4</v>
      </c>
      <c r="D80" s="37" t="str">
        <f>_xlfn.XLOOKUP(A80,Skill_Matching!$A$2:$A$200,Skill_Matching!$J$2:$J$200,"")</f>
        <v>Machine Learning</v>
      </c>
      <c r="E80" s="40">
        <f>_xlfn.XLOOKUP(A80,Skill_Matching!$A$2:$A$200,Skill_Matching!$D$2:$D$200,"")</f>
        <v>1.54</v>
      </c>
      <c r="F80">
        <f t="shared" si="4"/>
        <v>0</v>
      </c>
      <c r="G80">
        <f t="shared" si="5"/>
        <v>1</v>
      </c>
    </row>
    <row r="81" spans="1:7">
      <c r="A81" s="17" t="str" cm="1">
        <f t="array" ref="A81">IFERROR(INDEX(Skill_Matching!$A$2:$A$200,_xlfn.AGGREGATE(15,6,(ROW(Skill_Matching!$A$2:$A$200)-ROW(Skill_Matching!$A$2)+1)/(Skill_Matching!$D$2:$D$200&lt;&gt;""),ROWS($A$5:A81))),"")</f>
        <v>Predictive Analytics</v>
      </c>
      <c r="B81" s="13" t="str" cm="1">
        <f t="array" ref="B81">IF(A81="","",INDEX(Skill_Matching!$H$2:$H$200,_xlfn.AGGREGATE(15,6,(ROW(Skill_Matching!$A$2:$A$200)-ROW(Skill_Matching!$A$2)+1)/(Skill_Matching!$D$2:$D$200&lt;&gt;""),ROWS($A$5:A81))))</f>
        <v>Partially Covered</v>
      </c>
      <c r="C81" s="40" t="str">
        <f t="shared" si="3"/>
        <v>Tier 4</v>
      </c>
      <c r="D81" s="37" t="str">
        <f>_xlfn.XLOOKUP(A81,Skill_Matching!$A$2:$A$200,Skill_Matching!$J$2:$J$200,"")</f>
        <v>Data Analysis &amp; Statistics</v>
      </c>
      <c r="E81" s="40">
        <f>_xlfn.XLOOKUP(A81,Skill_Matching!$A$2:$A$200,Skill_Matching!$D$2:$D$200,"")</f>
        <v>1.54</v>
      </c>
      <c r="F81">
        <f t="shared" si="4"/>
        <v>0</v>
      </c>
      <c r="G81">
        <f t="shared" si="5"/>
        <v>1</v>
      </c>
    </row>
    <row r="82" spans="1:7">
      <c r="A82" s="17" t="str" cm="1">
        <f t="array" ref="A82">IFERROR(INDEX(Skill_Matching!$A$2:$A$200,_xlfn.AGGREGATE(15,6,(ROW(Skill_Matching!$A$2:$A$200)-ROW(Skill_Matching!$A$2)+1)/(Skill_Matching!$D$2:$D$200&lt;&gt;""),ROWS($A$5:A82))),"")</f>
        <v>Reporting &amp; Documentation</v>
      </c>
      <c r="B82" s="13" t="str" cm="1">
        <f t="array" ref="B82">IF(A82="","",INDEX(Skill_Matching!$H$2:$H$200,_xlfn.AGGREGATE(15,6,(ROW(Skill_Matching!$A$2:$A$200)-ROW(Skill_Matching!$A$2)+1)/(Skill_Matching!$D$2:$D$200&lt;&gt;""),ROWS($A$5:A82))))</f>
        <v>Industry Only</v>
      </c>
      <c r="C82" s="40" t="str">
        <f t="shared" si="3"/>
        <v>Tier 4</v>
      </c>
      <c r="D82" s="37" t="str">
        <f>_xlfn.XLOOKUP(A82,Skill_Matching!$A$2:$A$200,Skill_Matching!$J$2:$J$200,"")</f>
        <v>Professional &amp; Soft Skills</v>
      </c>
      <c r="E82" s="40">
        <f>_xlfn.XLOOKUP(A82,Skill_Matching!$A$2:$A$200,Skill_Matching!$D$2:$D$200,"")</f>
        <v>1.54</v>
      </c>
      <c r="F82">
        <f t="shared" si="4"/>
        <v>0</v>
      </c>
      <c r="G82">
        <f t="shared" si="5"/>
        <v>0</v>
      </c>
    </row>
    <row r="83" spans="1:7">
      <c r="A83" s="17" t="str" cm="1">
        <f t="array" ref="A83">IFERROR(INDEX(Skill_Matching!$A$2:$A$200,_xlfn.AGGREGATE(15,6,(ROW(Skill_Matching!$A$2:$A$200)-ROW(Skill_Matching!$A$2)+1)/(Skill_Matching!$D$2:$D$200&lt;&gt;""),ROWS($A$5:A83))),"")</f>
        <v>AI Safety &amp; Responsible AI</v>
      </c>
      <c r="B83" s="13" t="str" cm="1">
        <f t="array" ref="B83">IF(A83="","",INDEX(Skill_Matching!$H$2:$H$200,_xlfn.AGGREGATE(15,6,(ROW(Skill_Matching!$A$2:$A$200)-ROW(Skill_Matching!$A$2)+1)/(Skill_Matching!$D$2:$D$200&lt;&gt;""),ROWS($A$5:A83))))</f>
        <v>Partially Covered</v>
      </c>
      <c r="C83" s="40" t="str">
        <f t="shared" si="3"/>
        <v>Tier 4</v>
      </c>
      <c r="D83" s="37" t="str">
        <f>_xlfn.XLOOKUP(A83,Skill_Matching!$A$2:$A$200,Skill_Matching!$J$2:$J$200,"")</f>
        <v>Artificial Intelligence</v>
      </c>
      <c r="E83" s="40">
        <f>_xlfn.XLOOKUP(A83,Skill_Matching!$A$2:$A$200,Skill_Matching!$D$2:$D$200,"")</f>
        <v>0.77</v>
      </c>
      <c r="F83">
        <f t="shared" si="4"/>
        <v>0</v>
      </c>
      <c r="G83">
        <f t="shared" si="5"/>
        <v>1</v>
      </c>
    </row>
    <row r="84" spans="1:7">
      <c r="A84" s="17" t="str" cm="1">
        <f t="array" ref="A84">IFERROR(INDEX(Skill_Matching!$A$2:$A$200,_xlfn.AGGREGATE(15,6,(ROW(Skill_Matching!$A$2:$A$200)-ROW(Skill_Matching!$A$2)+1)/(Skill_Matching!$D$2:$D$200&lt;&gt;""),ROWS($A$5:A84))),"")</f>
        <v>Autonomous Driving / ADAS</v>
      </c>
      <c r="B84" s="13" t="str" cm="1">
        <f t="array" ref="B84">IF(A84="","",INDEX(Skill_Matching!$H$2:$H$200,_xlfn.AGGREGATE(15,6,(ROW(Skill_Matching!$A$2:$A$200)-ROW(Skill_Matching!$A$2)+1)/(Skill_Matching!$D$2:$D$200&lt;&gt;""),ROWS($A$5:A84))))</f>
        <v>Industry Only</v>
      </c>
      <c r="C84" s="40" t="str">
        <f t="shared" si="3"/>
        <v>Tier 4</v>
      </c>
      <c r="D84" s="37" t="str">
        <f>_xlfn.XLOOKUP(A84,Skill_Matching!$A$2:$A$200,Skill_Matching!$J$2:$J$200,"")</f>
        <v>Domain Applications</v>
      </c>
      <c r="E84" s="40">
        <f>_xlfn.XLOOKUP(A84,Skill_Matching!$A$2:$A$200,Skill_Matching!$D$2:$D$200,"")</f>
        <v>0.77</v>
      </c>
      <c r="F84">
        <f t="shared" si="4"/>
        <v>0</v>
      </c>
      <c r="G84">
        <f t="shared" si="5"/>
        <v>0</v>
      </c>
    </row>
    <row r="85" spans="1:7">
      <c r="A85" s="17" t="str" cm="1">
        <f t="array" ref="A85">IFERROR(INDEX(Skill_Matching!$A$2:$A$200,_xlfn.AGGREGATE(15,6,(ROW(Skill_Matching!$A$2:$A$200)-ROW(Skill_Matching!$A$2)+1)/(Skill_Matching!$D$2:$D$200&lt;&gt;""),ROWS($A$5:A85))),"")</f>
        <v>Browser Automation</v>
      </c>
      <c r="B85" s="13" t="str" cm="1">
        <f t="array" ref="B85">IF(A85="","",INDEX(Skill_Matching!$H$2:$H$200,_xlfn.AGGREGATE(15,6,(ROW(Skill_Matching!$A$2:$A$200)-ROW(Skill_Matching!$A$2)+1)/(Skill_Matching!$D$2:$D$200&lt;&gt;""),ROWS($A$5:A85))))</f>
        <v>Industry Only</v>
      </c>
      <c r="C85" s="40" t="str">
        <f t="shared" si="3"/>
        <v>Tier 4</v>
      </c>
      <c r="D85" s="37" t="str">
        <f>_xlfn.XLOOKUP(A85,Skill_Matching!$A$2:$A$200,Skill_Matching!$J$2:$J$200,"")</f>
        <v>Software Engineering</v>
      </c>
      <c r="E85" s="40">
        <f>_xlfn.XLOOKUP(A85,Skill_Matching!$A$2:$A$200,Skill_Matching!$D$2:$D$200,"")</f>
        <v>0.77</v>
      </c>
      <c r="F85">
        <f t="shared" si="4"/>
        <v>0</v>
      </c>
      <c r="G85">
        <f t="shared" si="5"/>
        <v>0</v>
      </c>
    </row>
    <row r="86" spans="1:7">
      <c r="A86" s="17" t="str" cm="1">
        <f t="array" ref="A86">IFERROR(INDEX(Skill_Matching!$A$2:$A$200,_xlfn.AGGREGATE(15,6,(ROW(Skill_Matching!$A$2:$A$200)-ROW(Skill_Matching!$A$2)+1)/(Skill_Matching!$D$2:$D$200&lt;&gt;""),ROWS($A$5:A86))),"")</f>
        <v/>
      </c>
      <c r="B86" s="13" t="str" cm="1">
        <f t="array" ref="B86">IF(A86="","",INDEX(Skill_Matching!$H$2:$H$200,_xlfn.AGGREGATE(15,6,(ROW(Skill_Matching!$A$2:$A$200)-ROW(Skill_Matching!$A$2)+1)/(Skill_Matching!$D$2:$D$200&lt;&gt;""),ROWS($A$5:A86))))</f>
        <v/>
      </c>
      <c r="C86" s="40"/>
      <c r="D86" s="17"/>
      <c r="E86" s="40"/>
    </row>
    <row r="87" spans="1:7">
      <c r="A87" s="17" t="str" cm="1">
        <f t="array" ref="A87">IFERROR(INDEX(Skill_Matching!$A$2:$A$200,_xlfn.AGGREGATE(15,6,(ROW(Skill_Matching!$A$2:$A$200)-ROW(Skill_Matching!$A$2)+1)/(Skill_Matching!$D$2:$D$200&lt;&gt;""),ROWS($A$5:A87))),"")</f>
        <v/>
      </c>
      <c r="B87" s="13" t="str" cm="1">
        <f t="array" ref="B87">IF(A87="","",INDEX(Skill_Matching!$H$2:$H$200,_xlfn.AGGREGATE(15,6,(ROW(Skill_Matching!$A$2:$A$200)-ROW(Skill_Matching!$A$2)+1)/(Skill_Matching!$D$2:$D$200&lt;&gt;""),ROWS($A$5:A87))))</f>
        <v/>
      </c>
      <c r="C87" s="40"/>
      <c r="D87" s="17"/>
      <c r="E87" s="40"/>
    </row>
    <row r="88" spans="1:7">
      <c r="A88" s="17" t="str" cm="1">
        <f t="array" ref="A88">IFERROR(INDEX(Skill_Matching!$A$2:$A$200,_xlfn.AGGREGATE(15,6,(ROW(Skill_Matching!$A$2:$A$200)-ROW(Skill_Matching!$A$2)+1)/(Skill_Matching!$D$2:$D$200&lt;&gt;""),ROWS($A$5:A88))),"")</f>
        <v/>
      </c>
      <c r="B88" s="13"/>
      <c r="C88" s="40"/>
      <c r="D88" s="17"/>
      <c r="E88" s="40"/>
    </row>
    <row r="89" spans="1:7">
      <c r="A89" s="17" t="str" cm="1">
        <f t="array" ref="A89">IFERROR(INDEX(Skill_Matching!$A$2:$A$200,_xlfn.AGGREGATE(15,6,(ROW(Skill_Matching!$A$2:$A$200)-ROW(Skill_Matching!$A$2)+1)/(Skill_Matching!$D$2:$D$200&lt;&gt;""),ROWS($A$5:A89))),"")</f>
        <v/>
      </c>
      <c r="B89" s="13"/>
      <c r="C89" s="40"/>
      <c r="D89" s="17"/>
      <c r="E89" s="40"/>
    </row>
    <row r="90" spans="1:7">
      <c r="A90" s="17" t="str" cm="1">
        <f t="array" ref="A90">IFERROR(INDEX(Skill_Matching!$A$2:$A$200,_xlfn.AGGREGATE(15,6,(ROW(Skill_Matching!$A$2:$A$200)-ROW(Skill_Matching!$A$2)+1)/(Skill_Matching!$D$2:$D$200&lt;&gt;""),ROWS($A$5:A90))),"")</f>
        <v/>
      </c>
      <c r="B90" s="13"/>
      <c r="C90" s="40"/>
      <c r="D90" s="17"/>
      <c r="E90" s="40"/>
    </row>
    <row r="96" spans="1:7">
      <c r="A96" s="4"/>
      <c r="B96" s="4"/>
    </row>
    <row r="97" spans="1:6">
      <c r="A97" s="3" t="s">
        <v>364</v>
      </c>
      <c r="E97" s="4" t="s">
        <v>359</v>
      </c>
      <c r="F97" s="4" t="s">
        <v>365</v>
      </c>
    </row>
    <row r="98" spans="1:6">
      <c r="A98" t="s">
        <v>366</v>
      </c>
      <c r="B98">
        <f>COUNTA(A5:A85)</f>
        <v>81</v>
      </c>
      <c r="E98" t="s">
        <v>321</v>
      </c>
      <c r="F98">
        <f>COUNTIF($B$5:$B$90,"Covered")</f>
        <v>25</v>
      </c>
    </row>
    <row r="99" spans="1:6">
      <c r="A99" t="s">
        <v>367</v>
      </c>
      <c r="B99">
        <f>COUNTIF(B5:B90,"Covered")</f>
        <v>25</v>
      </c>
      <c r="E99" t="s">
        <v>325</v>
      </c>
      <c r="F99">
        <f>COUNTIF($B$5:$B$90,"Partially Covered")</f>
        <v>22</v>
      </c>
    </row>
    <row r="100" spans="1:6">
      <c r="A100" t="s">
        <v>368</v>
      </c>
      <c r="B100">
        <f>COUNTIF(B5:B90,"Partially Covered")</f>
        <v>22</v>
      </c>
      <c r="E100" t="s">
        <v>323</v>
      </c>
      <c r="F100">
        <f>COUNTIF($B$5:$B$90,"Industry Only")</f>
        <v>34</v>
      </c>
    </row>
    <row r="101" spans="1:6">
      <c r="A101" t="s">
        <v>323</v>
      </c>
      <c r="B101">
        <f>COUNTIF(B5:B90,"Industry Only")</f>
        <v>34</v>
      </c>
    </row>
    <row r="102" spans="1:6">
      <c r="A102" t="s">
        <v>369</v>
      </c>
      <c r="B102" s="6">
        <f>COUNTIF(B5:B85,"Covered")/COUNTA(A5:A85)</f>
        <v>0.30864197530864196</v>
      </c>
    </row>
    <row r="103" spans="1:6">
      <c r="A103" t="s">
        <v>370</v>
      </c>
      <c r="B103" s="6">
        <f>(COUNTIF(B5:B85,"Covered")+COUNTIF(B5:B85,"Partially Covered"))/COUNTA(A5:A85)</f>
        <v>0.58024691358024694</v>
      </c>
    </row>
    <row r="104" spans="1:6">
      <c r="A104" t="s">
        <v>371</v>
      </c>
      <c r="B104" s="6">
        <f>COUNTIF(B5:B85,"Industry Only")/COUNTA(A5:A85)</f>
        <v>0.41975308641975306</v>
      </c>
    </row>
    <row r="105" spans="1:6">
      <c r="A105" t="s">
        <v>372</v>
      </c>
      <c r="B105" s="6">
        <f>COUNTIF(B5:B85,"Covered")/COUNTA(A5:A85)</f>
        <v>0.30864197530864196</v>
      </c>
    </row>
    <row r="106" spans="1:6">
      <c r="A106" t="s">
        <v>373</v>
      </c>
      <c r="B106" s="6">
        <f>COUNTIF(B5:B85,"Partially Covered")/COUNTA(A5:A85)</f>
        <v>0.27160493827160492</v>
      </c>
    </row>
    <row r="111" spans="1:6">
      <c r="A111" s="4"/>
      <c r="B111" s="4"/>
      <c r="C111" s="4"/>
      <c r="D111" s="4"/>
      <c r="E111" s="4"/>
      <c r="F111" s="39"/>
    </row>
    <row r="112" spans="1:6">
      <c r="A112" s="39" t="s">
        <v>360</v>
      </c>
      <c r="B112" s="39" t="s">
        <v>374</v>
      </c>
      <c r="C112" s="39" t="s">
        <v>321</v>
      </c>
      <c r="D112" s="39" t="s">
        <v>325</v>
      </c>
      <c r="E112" s="39" t="s">
        <v>323</v>
      </c>
      <c r="F112" s="39" t="s">
        <v>375</v>
      </c>
    </row>
    <row r="113" spans="1:7">
      <c r="A113" t="s">
        <v>376</v>
      </c>
      <c r="B113">
        <f>COUNTIF(C5:C90,"Tier 1")</f>
        <v>5</v>
      </c>
      <c r="C113">
        <f>COUNTIFS($C$5:$C$90,A113&amp;"*",$B$5:$B$90,"Covered")</f>
        <v>3</v>
      </c>
      <c r="D113">
        <f>COUNTIFS($C$5:$C$90,A113&amp;"*",$B$5:$B$90,"Partially Covered")</f>
        <v>0</v>
      </c>
      <c r="E113">
        <f>COUNTIFS($C$5:$C$90,A113&amp;"*",$B$5:$B$90,"Industry Only")</f>
        <v>2</v>
      </c>
      <c r="F113" s="6">
        <f>C113/B113</f>
        <v>0.6</v>
      </c>
    </row>
    <row r="114" spans="1:7">
      <c r="A114" t="s">
        <v>377</v>
      </c>
      <c r="B114">
        <f>COUNTIF(C5:C90,"Tier 2")</f>
        <v>10</v>
      </c>
      <c r="C114">
        <f t="shared" ref="C114:C116" si="6">COUNTIFS($C$5:$C$90,A114&amp;"*",$B$5:$B$90,"Covered")</f>
        <v>6</v>
      </c>
      <c r="D114">
        <f t="shared" ref="D114:D116" si="7">COUNTIFS($C$5:$C$90,A114&amp;"*",$B$5:$B$90,"Partially Covered")</f>
        <v>4</v>
      </c>
      <c r="E114">
        <f t="shared" ref="E114:E116" si="8">COUNTIFS($C$5:$C$90,A114&amp;"*",$B$5:$B$90,"Industry Only")</f>
        <v>0</v>
      </c>
      <c r="F114" s="6">
        <f t="shared" ref="F114:F116" si="9">C114/B114</f>
        <v>0.6</v>
      </c>
    </row>
    <row r="115" spans="1:7">
      <c r="A115" t="s">
        <v>378</v>
      </c>
      <c r="B115">
        <f>COUNTIF(C5:C90,"Tier 3")</f>
        <v>9</v>
      </c>
      <c r="C115">
        <f t="shared" si="6"/>
        <v>1</v>
      </c>
      <c r="D115">
        <f t="shared" si="7"/>
        <v>3</v>
      </c>
      <c r="E115">
        <f t="shared" si="8"/>
        <v>5</v>
      </c>
      <c r="F115" s="6">
        <f t="shared" si="9"/>
        <v>0.1111111111111111</v>
      </c>
    </row>
    <row r="116" spans="1:7">
      <c r="A116" t="s">
        <v>379</v>
      </c>
      <c r="B116">
        <f>COUNTIF(C5:C90,"Tier 4")</f>
        <v>57</v>
      </c>
      <c r="C116">
        <f t="shared" si="6"/>
        <v>15</v>
      </c>
      <c r="D116">
        <f t="shared" si="7"/>
        <v>15</v>
      </c>
      <c r="E116">
        <f t="shared" si="8"/>
        <v>27</v>
      </c>
      <c r="F116" s="6">
        <f t="shared" si="9"/>
        <v>0.26315789473684209</v>
      </c>
    </row>
    <row r="120" spans="1:7">
      <c r="A120" s="4" t="s">
        <v>6</v>
      </c>
      <c r="B120" s="4" t="s">
        <v>366</v>
      </c>
      <c r="C120" s="4" t="s">
        <v>321</v>
      </c>
      <c r="D120" s="16" t="s">
        <v>325</v>
      </c>
      <c r="E120" s="3" t="s">
        <v>323</v>
      </c>
      <c r="F120" s="16" t="s">
        <v>380</v>
      </c>
      <c r="G120" s="16" t="s">
        <v>381</v>
      </c>
    </row>
    <row r="121" spans="1:7">
      <c r="A121" t="s">
        <v>25</v>
      </c>
      <c r="B121">
        <f>COUNTIF($D$5:$D$90,A121)</f>
        <v>14</v>
      </c>
      <c r="C121" s="19">
        <f>COUNTIFS($D$5:$D$90,A121,$B$5:$B$90,"Covered")</f>
        <v>5</v>
      </c>
      <c r="D121">
        <f>COUNTIFS($D$5:$D$90,A121,$B$5:$B$90,"Partially Covered")</f>
        <v>6</v>
      </c>
      <c r="E121">
        <f>COUNTIFS($D$5:$D$90,A121,$B$5:$B$90,"Industry Only")</f>
        <v>3</v>
      </c>
      <c r="F121" s="6">
        <f>C121/B121</f>
        <v>0.35714285714285715</v>
      </c>
      <c r="G121" s="6">
        <f>(C121+D121)/B121</f>
        <v>0.7857142857142857</v>
      </c>
    </row>
    <row r="122" spans="1:7">
      <c r="A122" t="s">
        <v>9</v>
      </c>
      <c r="B122">
        <f t="shared" ref="B122:B134" si="10">COUNTIF($D$5:$D$90,A122)</f>
        <v>3</v>
      </c>
      <c r="C122" s="19">
        <f t="shared" ref="C122:C134" si="11">COUNTIFS($D$5:$D$90,A122,$B$5:$B$90,"Covered")</f>
        <v>3</v>
      </c>
      <c r="D122">
        <f t="shared" ref="D122:D134" si="12">COUNTIFS($D$5:$D$90,A122,$B$5:$B$90,"Partially Covered")</f>
        <v>0</v>
      </c>
      <c r="E122">
        <f t="shared" ref="E122:E134" si="13">COUNTIFS($D$5:$D$90,A122,$B$5:$B$90,"Industry Only")</f>
        <v>0</v>
      </c>
      <c r="F122" s="6">
        <f t="shared" ref="F122:F134" si="14">C122/B122</f>
        <v>1</v>
      </c>
      <c r="G122" s="6">
        <f t="shared" ref="G122:G134" si="15">(C122+D122)/B122</f>
        <v>1</v>
      </c>
    </row>
    <row r="123" spans="1:7">
      <c r="A123" t="s">
        <v>13</v>
      </c>
      <c r="B123">
        <f t="shared" si="10"/>
        <v>10</v>
      </c>
      <c r="C123" s="19">
        <f t="shared" si="11"/>
        <v>1</v>
      </c>
      <c r="D123">
        <f t="shared" si="12"/>
        <v>7</v>
      </c>
      <c r="E123">
        <f t="shared" si="13"/>
        <v>2</v>
      </c>
      <c r="F123" s="6">
        <f t="shared" si="14"/>
        <v>0.1</v>
      </c>
      <c r="G123" s="6">
        <f t="shared" si="15"/>
        <v>0.8</v>
      </c>
    </row>
    <row r="124" spans="1:7">
      <c r="A124" t="s">
        <v>62</v>
      </c>
      <c r="B124">
        <f t="shared" si="10"/>
        <v>6</v>
      </c>
      <c r="C124" s="19">
        <f t="shared" si="11"/>
        <v>1</v>
      </c>
      <c r="D124">
        <f t="shared" si="12"/>
        <v>1</v>
      </c>
      <c r="E124">
        <f t="shared" si="13"/>
        <v>4</v>
      </c>
      <c r="F124" s="6">
        <f t="shared" si="14"/>
        <v>0.16666666666666666</v>
      </c>
      <c r="G124" s="6">
        <f t="shared" si="15"/>
        <v>0.33333333333333331</v>
      </c>
    </row>
    <row r="125" spans="1:7">
      <c r="A125" t="s">
        <v>33</v>
      </c>
      <c r="B125">
        <f t="shared" si="10"/>
        <v>3</v>
      </c>
      <c r="C125" s="19">
        <f t="shared" si="11"/>
        <v>1</v>
      </c>
      <c r="D125">
        <f t="shared" si="12"/>
        <v>2</v>
      </c>
      <c r="E125">
        <f t="shared" si="13"/>
        <v>0</v>
      </c>
      <c r="F125" s="6">
        <f t="shared" si="14"/>
        <v>0.33333333333333331</v>
      </c>
      <c r="G125" s="6">
        <f t="shared" si="15"/>
        <v>1</v>
      </c>
    </row>
    <row r="126" spans="1:7">
      <c r="A126" t="s">
        <v>94</v>
      </c>
      <c r="B126">
        <f t="shared" si="10"/>
        <v>2</v>
      </c>
      <c r="C126" s="19">
        <f t="shared" si="11"/>
        <v>1</v>
      </c>
      <c r="D126">
        <f t="shared" si="12"/>
        <v>1</v>
      </c>
      <c r="E126">
        <f t="shared" si="13"/>
        <v>0</v>
      </c>
      <c r="F126" s="6">
        <f t="shared" si="14"/>
        <v>0.5</v>
      </c>
      <c r="G126" s="6">
        <f t="shared" si="15"/>
        <v>1</v>
      </c>
    </row>
    <row r="127" spans="1:7">
      <c r="A127" t="s">
        <v>28</v>
      </c>
      <c r="B127">
        <f t="shared" si="10"/>
        <v>13</v>
      </c>
      <c r="C127" s="19">
        <f t="shared" si="11"/>
        <v>2</v>
      </c>
      <c r="D127">
        <f t="shared" si="12"/>
        <v>1</v>
      </c>
      <c r="E127">
        <f t="shared" si="13"/>
        <v>10</v>
      </c>
      <c r="F127" s="6">
        <f t="shared" si="14"/>
        <v>0.15384615384615385</v>
      </c>
      <c r="G127" s="6">
        <f t="shared" si="15"/>
        <v>0.23076923076923078</v>
      </c>
    </row>
    <row r="128" spans="1:7">
      <c r="A128" t="s">
        <v>17</v>
      </c>
      <c r="B128">
        <f t="shared" si="10"/>
        <v>3</v>
      </c>
      <c r="C128" s="19">
        <f t="shared" si="11"/>
        <v>3</v>
      </c>
      <c r="D128">
        <f t="shared" si="12"/>
        <v>0</v>
      </c>
      <c r="E128">
        <f t="shared" si="13"/>
        <v>0</v>
      </c>
      <c r="F128" s="6">
        <f t="shared" si="14"/>
        <v>1</v>
      </c>
      <c r="G128" s="6">
        <f t="shared" si="15"/>
        <v>1</v>
      </c>
    </row>
    <row r="129" spans="1:7">
      <c r="A129" t="s">
        <v>20</v>
      </c>
      <c r="B129">
        <f t="shared" si="10"/>
        <v>8</v>
      </c>
      <c r="C129" s="19">
        <f t="shared" si="11"/>
        <v>1</v>
      </c>
      <c r="D129">
        <f t="shared" si="12"/>
        <v>0</v>
      </c>
      <c r="E129">
        <f t="shared" si="13"/>
        <v>7</v>
      </c>
      <c r="F129" s="6">
        <f t="shared" si="14"/>
        <v>0.125</v>
      </c>
      <c r="G129" s="6">
        <f t="shared" si="15"/>
        <v>0.125</v>
      </c>
    </row>
    <row r="130" spans="1:7">
      <c r="A130" t="s">
        <v>67</v>
      </c>
      <c r="B130">
        <f t="shared" si="10"/>
        <v>6</v>
      </c>
      <c r="C130" s="19">
        <f t="shared" si="11"/>
        <v>3</v>
      </c>
      <c r="D130">
        <f t="shared" si="12"/>
        <v>2</v>
      </c>
      <c r="E130">
        <f t="shared" si="13"/>
        <v>1</v>
      </c>
      <c r="F130" s="6">
        <f t="shared" si="14"/>
        <v>0.5</v>
      </c>
      <c r="G130" s="6">
        <f t="shared" si="15"/>
        <v>0.83333333333333337</v>
      </c>
    </row>
    <row r="131" spans="1:7">
      <c r="A131" t="s">
        <v>38</v>
      </c>
      <c r="B131">
        <f t="shared" si="10"/>
        <v>3</v>
      </c>
      <c r="C131" s="19">
        <f t="shared" si="11"/>
        <v>2</v>
      </c>
      <c r="D131">
        <f t="shared" si="12"/>
        <v>1</v>
      </c>
      <c r="E131">
        <f t="shared" si="13"/>
        <v>0</v>
      </c>
      <c r="F131" s="6">
        <f t="shared" si="14"/>
        <v>0.66666666666666663</v>
      </c>
      <c r="G131" s="6">
        <f t="shared" si="15"/>
        <v>1</v>
      </c>
    </row>
    <row r="132" spans="1:7">
      <c r="A132" t="s">
        <v>133</v>
      </c>
      <c r="B132">
        <f t="shared" si="10"/>
        <v>2</v>
      </c>
      <c r="C132" s="19">
        <f t="shared" si="11"/>
        <v>2</v>
      </c>
      <c r="D132">
        <f t="shared" si="12"/>
        <v>0</v>
      </c>
      <c r="E132">
        <f t="shared" si="13"/>
        <v>0</v>
      </c>
      <c r="F132" s="6">
        <f t="shared" si="14"/>
        <v>1</v>
      </c>
      <c r="G132" s="6">
        <f t="shared" si="15"/>
        <v>1</v>
      </c>
    </row>
    <row r="133" spans="1:7">
      <c r="A133" t="s">
        <v>12</v>
      </c>
      <c r="B133">
        <f t="shared" si="10"/>
        <v>4</v>
      </c>
      <c r="C133" s="19">
        <f t="shared" si="11"/>
        <v>0</v>
      </c>
      <c r="D133">
        <f t="shared" si="12"/>
        <v>0</v>
      </c>
      <c r="E133">
        <f t="shared" si="13"/>
        <v>4</v>
      </c>
      <c r="F133" s="6">
        <f t="shared" si="14"/>
        <v>0</v>
      </c>
      <c r="G133" s="6">
        <f t="shared" si="15"/>
        <v>0</v>
      </c>
    </row>
    <row r="134" spans="1:7">
      <c r="A134" t="s">
        <v>100</v>
      </c>
      <c r="B134">
        <f t="shared" si="10"/>
        <v>4</v>
      </c>
      <c r="C134" s="19">
        <f t="shared" si="11"/>
        <v>0</v>
      </c>
      <c r="D134">
        <f t="shared" si="12"/>
        <v>1</v>
      </c>
      <c r="E134">
        <f t="shared" si="13"/>
        <v>3</v>
      </c>
      <c r="F134" s="6">
        <f t="shared" si="14"/>
        <v>0</v>
      </c>
      <c r="G134" s="6">
        <f t="shared" si="15"/>
        <v>0.25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9E65-E46E-4A5D-B192-9EF057065345}">
  <dimension ref="A1:M51"/>
  <sheetViews>
    <sheetView workbookViewId="0">
      <selection activeCell="H21" sqref="H21"/>
    </sheetView>
  </sheetViews>
  <sheetFormatPr defaultRowHeight="15"/>
  <cols>
    <col min="2" max="2" width="36.42578125" customWidth="1"/>
    <col min="3" max="3" width="21.7109375" customWidth="1"/>
    <col min="4" max="4" width="13.28515625" customWidth="1"/>
    <col min="5" max="5" width="16.42578125" customWidth="1"/>
    <col min="6" max="6" width="23.85546875" customWidth="1"/>
    <col min="7" max="7" width="17.85546875" customWidth="1"/>
    <col min="8" max="8" width="27.28515625" customWidth="1"/>
    <col min="10" max="11" width="31.42578125" customWidth="1"/>
    <col min="12" max="12" width="25.85546875" customWidth="1"/>
    <col min="13" max="13" width="23.42578125" customWidth="1"/>
  </cols>
  <sheetData>
    <row r="1" spans="1:13">
      <c r="A1" s="45" t="s">
        <v>382</v>
      </c>
      <c r="B1" s="45"/>
      <c r="C1" s="45"/>
      <c r="D1" s="45"/>
      <c r="E1" s="45"/>
      <c r="F1" s="45"/>
      <c r="G1" s="45"/>
      <c r="H1" s="45"/>
    </row>
    <row r="2" spans="1:13">
      <c r="A2" s="45" t="s">
        <v>383</v>
      </c>
      <c r="B2" s="45"/>
      <c r="C2" s="45"/>
      <c r="D2" s="45"/>
      <c r="E2" s="45"/>
      <c r="F2" s="45"/>
      <c r="G2" s="45"/>
      <c r="H2" s="45"/>
    </row>
    <row r="3" spans="1:13">
      <c r="B3" s="39"/>
      <c r="E3" s="39"/>
      <c r="J3" s="4"/>
      <c r="K3" s="4"/>
      <c r="L3" s="4"/>
      <c r="M3" s="4"/>
    </row>
    <row r="4" spans="1:13">
      <c r="A4" s="39" t="s">
        <v>384</v>
      </c>
      <c r="B4" s="39" t="s">
        <v>385</v>
      </c>
      <c r="C4" s="39" t="s">
        <v>386</v>
      </c>
      <c r="D4" s="39" t="s">
        <v>387</v>
      </c>
      <c r="E4" s="39" t="s">
        <v>360</v>
      </c>
      <c r="F4" s="39" t="s">
        <v>388</v>
      </c>
      <c r="G4" s="39" t="s">
        <v>359</v>
      </c>
      <c r="H4" s="39" t="s">
        <v>389</v>
      </c>
      <c r="J4" s="39" t="s">
        <v>385</v>
      </c>
      <c r="K4" s="39" t="s">
        <v>390</v>
      </c>
      <c r="L4" s="39" t="s">
        <v>391</v>
      </c>
      <c r="M4" s="39" t="s">
        <v>392</v>
      </c>
    </row>
    <row r="5" spans="1:13">
      <c r="A5">
        <v>1</v>
      </c>
      <c r="B5" t="s">
        <v>29</v>
      </c>
      <c r="C5" s="40">
        <f>_xlfn.XLOOKUP(K5,Industry_Skillset!$B:$B,Industry_Skillset!$C:$C,"")</f>
        <v>45</v>
      </c>
      <c r="D5" s="38">
        <f>C5/130</f>
        <v>0.34615384615384615</v>
      </c>
      <c r="E5" s="40" t="str">
        <f>IF(C5="","",IF(C5&gt;=50,"Tier 1",IF(C5&gt;=25,"Tier 2",IF(C5&gt;=10,"Tier 3","Tier 4"))))</f>
        <v>Tier 2</v>
      </c>
      <c r="F5" s="40">
        <f>IF(K5="","",_xlfn.XLOOKUP(K5,Skill_Matching!$B$2:$B$200,Skill_Matching!$F$2:$F$200,0))</f>
        <v>8</v>
      </c>
      <c r="G5" t="str">
        <f>IF(K5="","",_xlfn.XLOOKUP(K5,Skill_Matching!$B$2:$B$200,Skill_Matching!$H$2:$H$200,"Industry Only"))</f>
        <v>Covered</v>
      </c>
      <c r="H5" t="s">
        <v>29</v>
      </c>
      <c r="J5" t="s">
        <v>29</v>
      </c>
      <c r="K5" t="s">
        <v>29</v>
      </c>
      <c r="L5" t="str">
        <f>IF(K5="","",_xlfn.XLOOKUP(K5,Skill_Matching!$B$2:$B$200,Skill_Matching!$E$2:$E$200,""))</f>
        <v>Generative AI</v>
      </c>
      <c r="M5" t="str">
        <f>IF(K5="","",_xlfn.XLOOKUP(K5,Skill_Matching!$B$2:$B$200,Skill_Matching!$J$2:$J$200,""))</f>
        <v>Generative AI &amp; NLP</v>
      </c>
    </row>
    <row r="6" spans="1:13">
      <c r="A6">
        <v>2</v>
      </c>
      <c r="B6" t="s">
        <v>26</v>
      </c>
      <c r="C6" s="40">
        <f>_xlfn.XLOOKUP(K6,Industry_Skillset!$B:$B,Industry_Skillset!$C:$C,"")</f>
        <v>48</v>
      </c>
      <c r="D6" s="38">
        <f t="shared" ref="D6:D18" si="0">C6/130</f>
        <v>0.36923076923076925</v>
      </c>
      <c r="E6" s="40" t="str">
        <f t="shared" ref="E6:E18" si="1">IF(C6="","",IF(C6&gt;=50,"Tier 1",IF(C6&gt;=25,"Tier 2",IF(C6&gt;=10,"Tier 3","Tier 4"))))</f>
        <v>Tier 2</v>
      </c>
      <c r="F6" s="40">
        <f>IF(K6="","",_xlfn.XLOOKUP(K6,Skill_Matching!$B$2:$B$200,Skill_Matching!$F$2:$F$200,0))</f>
        <v>56</v>
      </c>
      <c r="G6" t="str">
        <f>IF(K6="","",_xlfn.XLOOKUP(K6,Skill_Matching!$B$2:$B$200,Skill_Matching!$H$2:$H$200,"Industry Only"))</f>
        <v>Partially Covered</v>
      </c>
      <c r="H6" t="s">
        <v>393</v>
      </c>
      <c r="J6" t="s">
        <v>26</v>
      </c>
      <c r="K6" t="s">
        <v>26</v>
      </c>
      <c r="L6" t="str">
        <f>IF(K6="","",_xlfn.XLOOKUP(K6,Skill_Matching!$B$2:$B$200,Skill_Matching!$E$2:$E$200,""))</f>
        <v>Natural Language Processing</v>
      </c>
      <c r="M6" t="str">
        <f>IF(K6="","",_xlfn.XLOOKUP(K6,Skill_Matching!$B$2:$B$200,Skill_Matching!$J$2:$J$200,""))</f>
        <v>Generative AI &amp; NLP</v>
      </c>
    </row>
    <row r="7" spans="1:13">
      <c r="A7">
        <v>3</v>
      </c>
      <c r="B7" t="s">
        <v>44</v>
      </c>
      <c r="C7" s="40">
        <f>_xlfn.XLOOKUP(K7,Industry_Skillset!$B:$B,Industry_Skillset!$C:$C,"")</f>
        <v>28</v>
      </c>
      <c r="D7" s="38">
        <f t="shared" si="0"/>
        <v>0.2153846153846154</v>
      </c>
      <c r="E7" s="40" t="str">
        <f t="shared" si="1"/>
        <v>Tier 2</v>
      </c>
      <c r="F7" s="40">
        <f>IF(K7="","",_xlfn.XLOOKUP(K7,Skill_Matching!$B$2:$B$200,Skill_Matching!$F$2:$F$200,0))</f>
        <v>0</v>
      </c>
      <c r="G7" t="str">
        <f>IF(K7="","",_xlfn.XLOOKUP(K7,Skill_Matching!$B$2:$B$200,Skill_Matching!$H$2:$H$200,"Industry Only"))</f>
        <v>Industry Only</v>
      </c>
      <c r="H7" t="s">
        <v>394</v>
      </c>
      <c r="J7" t="s">
        <v>44</v>
      </c>
      <c r="K7" t="s">
        <v>44</v>
      </c>
      <c r="L7">
        <f>IF(K7="","",_xlfn.XLOOKUP(K7,Skill_Matching!$B$2:$B$200,Skill_Matching!$E$2:$E$200,""))</f>
        <v>0</v>
      </c>
      <c r="M7" t="str">
        <f>IF(K7="","",_xlfn.XLOOKUP(K7,Skill_Matching!$B$2:$B$200,Skill_Matching!$J$2:$J$200,""))</f>
        <v>Generative AI &amp; NLP</v>
      </c>
    </row>
    <row r="8" spans="1:13" ht="30.75">
      <c r="A8">
        <v>4</v>
      </c>
      <c r="B8" t="s">
        <v>395</v>
      </c>
      <c r="C8" s="40">
        <f>_xlfn.XLOOKUP(K8,Industry_Skillset!$B:$B,Industry_Skillset!$C:$C,"")</f>
        <v>15</v>
      </c>
      <c r="D8" s="38">
        <f t="shared" si="0"/>
        <v>0.11538461538461539</v>
      </c>
      <c r="E8" s="40" t="str">
        <f t="shared" si="1"/>
        <v>Tier 3</v>
      </c>
      <c r="F8" s="40">
        <f>IF(K8="","",_xlfn.XLOOKUP(K8,Skill_Matching!$B$2:$B$200,Skill_Matching!$F$2:$F$200,0))</f>
        <v>0</v>
      </c>
      <c r="G8" t="str">
        <f>IF(K8="","",_xlfn.XLOOKUP(K8,Skill_Matching!$B$2:$B$200,Skill_Matching!$H$2:$H$200,"Industry Only"))</f>
        <v>Industry Only</v>
      </c>
      <c r="H8" t="s">
        <v>394</v>
      </c>
      <c r="J8" s="17" t="s">
        <v>395</v>
      </c>
      <c r="K8" s="17" t="s">
        <v>52</v>
      </c>
      <c r="L8">
        <f>IF(K8="","",_xlfn.XLOOKUP(K8,Skill_Matching!$B$2:$B$200,Skill_Matching!$E$2:$E$200,""))</f>
        <v>0</v>
      </c>
      <c r="M8" t="str">
        <f>IF(K8="","",_xlfn.XLOOKUP(K8,Skill_Matching!$B$2:$B$200,Skill_Matching!$J$2:$J$200,""))</f>
        <v>Generative AI &amp; NLP</v>
      </c>
    </row>
    <row r="9" spans="1:13">
      <c r="A9">
        <v>5</v>
      </c>
      <c r="B9" t="s">
        <v>396</v>
      </c>
      <c r="C9" s="40">
        <f>_xlfn.XLOOKUP(K9,Industry_Skillset!$B:$B,Industry_Skillset!$C:$C,"")</f>
        <v>11</v>
      </c>
      <c r="D9" s="38">
        <f t="shared" si="0"/>
        <v>8.461538461538462E-2</v>
      </c>
      <c r="E9" s="40" t="str">
        <f t="shared" si="1"/>
        <v>Tier 3</v>
      </c>
      <c r="F9" s="40">
        <f>IF(K9="","",_xlfn.XLOOKUP(K9,Skill_Matching!$B$2:$B$200,Skill_Matching!$F$2:$F$200,0))</f>
        <v>0</v>
      </c>
      <c r="G9" t="str">
        <f>IF(K9="","",_xlfn.XLOOKUP(K9,Skill_Matching!$B$2:$B$200,Skill_Matching!$H$2:$H$200,"Industry Only"))</f>
        <v>Industry Only</v>
      </c>
      <c r="H9" t="s">
        <v>397</v>
      </c>
      <c r="J9" t="s">
        <v>396</v>
      </c>
      <c r="K9" t="s">
        <v>63</v>
      </c>
      <c r="L9">
        <f>IF(K9="","",_xlfn.XLOOKUP(K9,Skill_Matching!$B$2:$B$200,Skill_Matching!$E$2:$E$200,""))</f>
        <v>0</v>
      </c>
      <c r="M9" t="str">
        <f>IF(K9="","",_xlfn.XLOOKUP(K9,Skill_Matching!$B$2:$B$200,Skill_Matching!$J$2:$J$200,""))</f>
        <v>Generative AI &amp; NLP</v>
      </c>
    </row>
    <row r="10" spans="1:13" ht="30.75">
      <c r="A10">
        <v>6</v>
      </c>
      <c r="B10" s="17" t="s">
        <v>398</v>
      </c>
      <c r="C10" s="40">
        <f>_xlfn.XLOOKUP(K10,Industry_Skillset!$B:$B,Industry_Skillset!$C:$C,"")</f>
        <v>11</v>
      </c>
      <c r="D10" s="38">
        <f t="shared" si="0"/>
        <v>8.461538461538462E-2</v>
      </c>
      <c r="E10" s="40" t="str">
        <f t="shared" si="1"/>
        <v>Tier 3</v>
      </c>
      <c r="F10" s="40">
        <f>IF(K10="","",_xlfn.XLOOKUP(K10,Skill_Matching!$B$2:$B$200,Skill_Matching!$F$2:$F$200,0))</f>
        <v>0</v>
      </c>
      <c r="G10" t="str">
        <f>IF(K10="","",_xlfn.XLOOKUP(K10,Skill_Matching!$B$2:$B$200,Skill_Matching!$H$2:$H$200,"Industry Only"))</f>
        <v>Industry Only</v>
      </c>
      <c r="H10" t="s">
        <v>397</v>
      </c>
      <c r="J10" s="17" t="s">
        <v>398</v>
      </c>
      <c r="K10" s="17" t="s">
        <v>70</v>
      </c>
      <c r="L10">
        <f>IF(K10="","",_xlfn.XLOOKUP(K10,Skill_Matching!$B$2:$B$200,Skill_Matching!$E$2:$E$200,""))</f>
        <v>0</v>
      </c>
      <c r="M10" t="str">
        <f>IF(K10="","",_xlfn.XLOOKUP(K10,Skill_Matching!$B$2:$B$200,Skill_Matching!$J$2:$J$200,""))</f>
        <v>Generative AI &amp; NLP</v>
      </c>
    </row>
    <row r="11" spans="1:13">
      <c r="A11">
        <v>7</v>
      </c>
      <c r="B11" t="s">
        <v>399</v>
      </c>
      <c r="C11" s="40">
        <f>_xlfn.XLOOKUP(K11,Industry_Skillset!$B:$B,Industry_Skillset!$C:$C,"")</f>
        <v>9</v>
      </c>
      <c r="D11" s="38">
        <f t="shared" si="0"/>
        <v>6.9230769230769235E-2</v>
      </c>
      <c r="E11" s="40" t="str">
        <f t="shared" si="1"/>
        <v>Tier 4</v>
      </c>
      <c r="F11" s="40">
        <f>IF(K11="","",_xlfn.XLOOKUP(K11,Skill_Matching!$B$2:$B$200,Skill_Matching!$F$2:$F$200,0))</f>
        <v>0</v>
      </c>
      <c r="G11" t="str">
        <f>IF(K11="","",_xlfn.XLOOKUP(K11,Skill_Matching!$B$2:$B$200,Skill_Matching!$H$2:$H$200,"Industry Only"))</f>
        <v>Industry Only</v>
      </c>
      <c r="H11" t="s">
        <v>394</v>
      </c>
      <c r="J11" t="s">
        <v>399</v>
      </c>
      <c r="K11" s="13" t="s">
        <v>74</v>
      </c>
      <c r="L11">
        <f>IF(K11="","",_xlfn.XLOOKUP(K11,Skill_Matching!$B$2:$B$200,Skill_Matching!$E$2:$E$200,""))</f>
        <v>0</v>
      </c>
      <c r="M11" t="str">
        <f>IF(K11="","",_xlfn.XLOOKUP(K11,Skill_Matching!$B$2:$B$200,Skill_Matching!$J$2:$J$200,""))</f>
        <v>Generative AI &amp; NLP</v>
      </c>
    </row>
    <row r="12" spans="1:13">
      <c r="A12">
        <v>8</v>
      </c>
      <c r="B12" t="s">
        <v>48</v>
      </c>
      <c r="C12" s="40">
        <f>_xlfn.XLOOKUP(K12,Industry_Skillset!$B:$B,Industry_Skillset!$C:$C,"")</f>
        <v>24</v>
      </c>
      <c r="D12" s="38">
        <f t="shared" si="0"/>
        <v>0.18461538461538463</v>
      </c>
      <c r="E12" s="40" t="str">
        <f t="shared" si="1"/>
        <v>Tier 3</v>
      </c>
      <c r="F12" s="40">
        <f>IF(K12="","",_xlfn.XLOOKUP(K12,Skill_Matching!$B$2:$B$200,Skill_Matching!$F$2:$F$200,0))</f>
        <v>0</v>
      </c>
      <c r="G12" t="str">
        <f>IF(K12="","",_xlfn.XLOOKUP(K12,Skill_Matching!$B$2:$B$200,Skill_Matching!$H$2:$H$200,"Industry Only"))</f>
        <v>Industry Only</v>
      </c>
      <c r="H12" t="s">
        <v>400</v>
      </c>
      <c r="J12" t="s">
        <v>48</v>
      </c>
      <c r="K12" t="s">
        <v>48</v>
      </c>
      <c r="L12">
        <f>IF(K12="","",_xlfn.XLOOKUP(K12,Skill_Matching!$B$2:$B$200,Skill_Matching!$E$2:$E$200,""))</f>
        <v>0</v>
      </c>
      <c r="M12" t="str">
        <f>IF(K12="","",_xlfn.XLOOKUP(K12,Skill_Matching!$B$2:$B$200,Skill_Matching!$J$2:$J$200,""))</f>
        <v>Cloud &amp; MLOps</v>
      </c>
    </row>
    <row r="13" spans="1:13">
      <c r="A13">
        <v>9</v>
      </c>
      <c r="B13" t="s">
        <v>46</v>
      </c>
      <c r="C13" s="40">
        <f>_xlfn.XLOOKUP(K13,Industry_Skillset!$B:$B,Industry_Skillset!$C:$C,"")</f>
        <v>25</v>
      </c>
      <c r="D13" s="38">
        <f t="shared" si="0"/>
        <v>0.19230769230769232</v>
      </c>
      <c r="E13" s="40" t="str">
        <f t="shared" si="1"/>
        <v>Tier 2</v>
      </c>
      <c r="F13" s="40">
        <f>IF(K13="","",_xlfn.XLOOKUP(K13,Skill_Matching!$B$2:$B$200,Skill_Matching!$F$2:$F$200,0))</f>
        <v>0</v>
      </c>
      <c r="G13" t="str">
        <f>IF(K13="","",_xlfn.XLOOKUP(K13,Skill_Matching!$B$2:$B$200,Skill_Matching!$H$2:$H$200,"Industry Only"))</f>
        <v>Industry Only</v>
      </c>
      <c r="H13" t="s">
        <v>400</v>
      </c>
      <c r="J13" t="s">
        <v>46</v>
      </c>
      <c r="K13" t="s">
        <v>46</v>
      </c>
      <c r="L13">
        <f>IF(K13="","",_xlfn.XLOOKUP(K13,Skill_Matching!$B$2:$B$200,Skill_Matching!$E$2:$E$200,""))</f>
        <v>0</v>
      </c>
      <c r="M13" t="str">
        <f>IF(K13="","",_xlfn.XLOOKUP(K13,Skill_Matching!$B$2:$B$200,Skill_Matching!$J$2:$J$200,""))</f>
        <v>Cloud &amp; MLOps</v>
      </c>
    </row>
    <row r="14" spans="1:13">
      <c r="A14">
        <v>10</v>
      </c>
      <c r="B14" t="s">
        <v>401</v>
      </c>
      <c r="C14" s="40">
        <f>_xlfn.XLOOKUP(K14,Industry_Skillset!$B:$B,Industry_Skillset!$C:$C,"")</f>
        <v>4</v>
      </c>
      <c r="D14" s="38">
        <f t="shared" si="0"/>
        <v>3.0769230769230771E-2</v>
      </c>
      <c r="E14" s="40" t="str">
        <f t="shared" si="1"/>
        <v>Tier 4</v>
      </c>
      <c r="F14" s="40">
        <f>IF(K14="","",_xlfn.XLOOKUP(K14,Skill_Matching!$B$2:$B$200,Skill_Matching!$F$2:$F$200,0))</f>
        <v>0</v>
      </c>
      <c r="G14" t="str">
        <f>IF(K14="","",_xlfn.XLOOKUP(K14,Skill_Matching!$B$2:$B$200,Skill_Matching!$H$2:$H$200,"Industry Only"))</f>
        <v>Industry Only</v>
      </c>
      <c r="H14" t="s">
        <v>393</v>
      </c>
      <c r="J14" t="s">
        <v>401</v>
      </c>
      <c r="K14" t="s">
        <v>103</v>
      </c>
      <c r="L14">
        <f>IF(K14="","",_xlfn.XLOOKUP(K14,Skill_Matching!$B$2:$B$200,Skill_Matching!$E$2:$E$200,""))</f>
        <v>0</v>
      </c>
      <c r="M14" t="str">
        <f>IF(K14="","",_xlfn.XLOOKUP(K14,Skill_Matching!$B$2:$B$200,Skill_Matching!$J$2:$J$200,""))</f>
        <v>Generative AI &amp; NLP</v>
      </c>
    </row>
    <row r="15" spans="1:13">
      <c r="A15">
        <v>11</v>
      </c>
      <c r="B15" t="s">
        <v>31</v>
      </c>
      <c r="C15" s="40">
        <f>_xlfn.XLOOKUP(K15,Industry_Skillset!$B:$B,Industry_Skillset!$C:$C,"")</f>
        <v>44</v>
      </c>
      <c r="D15" s="38">
        <f t="shared" si="0"/>
        <v>0.33846153846153848</v>
      </c>
      <c r="E15" s="40" t="str">
        <f t="shared" si="1"/>
        <v>Tier 2</v>
      </c>
      <c r="F15" s="40">
        <f>IF(K15="","",_xlfn.XLOOKUP(K15,Skill_Matching!$B$2:$B$200,Skill_Matching!$F$2:$F$200,0))</f>
        <v>63</v>
      </c>
      <c r="G15" t="str">
        <f>IF(K15="","",_xlfn.XLOOKUP(K15,Skill_Matching!$B$2:$B$200,Skill_Matching!$H$2:$H$200,"Industry Only"))</f>
        <v>Partially Covered</v>
      </c>
      <c r="H15" t="s">
        <v>397</v>
      </c>
      <c r="J15" t="s">
        <v>31</v>
      </c>
      <c r="K15" t="s">
        <v>31</v>
      </c>
      <c r="L15" t="str">
        <f>IF(K15="","",_xlfn.XLOOKUP(K15,Skill_Matching!$B$2:$B$200,Skill_Matching!$E$2:$E$200,""))</f>
        <v>Deep Learning</v>
      </c>
      <c r="M15" t="str">
        <f>IF(K15="","",_xlfn.XLOOKUP(K15,Skill_Matching!$B$2:$B$200,Skill_Matching!$J$2:$J$200,""))</f>
        <v>Deep Learning</v>
      </c>
    </row>
    <row r="16" spans="1:13" ht="30.75">
      <c r="A16">
        <v>12</v>
      </c>
      <c r="B16" t="s">
        <v>402</v>
      </c>
      <c r="C16" s="40">
        <f>_xlfn.XLOOKUP(K16,Industry_Skillset!$B:$B,Industry_Skillset!$C:$C,"")</f>
        <v>63</v>
      </c>
      <c r="D16" s="38">
        <f t="shared" si="0"/>
        <v>0.48461538461538461</v>
      </c>
      <c r="E16" s="40" t="str">
        <f t="shared" si="1"/>
        <v>Tier 1</v>
      </c>
      <c r="F16" s="40">
        <f>IF(K16="","",_xlfn.XLOOKUP(K16,Skill_Matching!$B$2:$B$200,Skill_Matching!$F$2:$F$200,0))</f>
        <v>13</v>
      </c>
      <c r="G16" t="str">
        <f>IF(K16="","",_xlfn.XLOOKUP(K16,Skill_Matching!$B$2:$B$200,Skill_Matching!$H$2:$H$200,"Industry Only"))</f>
        <v>Covered</v>
      </c>
      <c r="H16" t="s">
        <v>402</v>
      </c>
      <c r="J16" t="s">
        <v>402</v>
      </c>
      <c r="K16" s="17" t="s">
        <v>18</v>
      </c>
      <c r="L16" s="17" t="str">
        <f>IF(K16="","",_xlfn.XLOOKUP(K16,Skill_Matching!$B$2:$B$200,Skill_Matching!$E$2:$E$200,""))</f>
        <v>Cloud Platforms (AWS/Azure/GCP)</v>
      </c>
      <c r="M16" t="str">
        <f>IF(K16="","",_xlfn.XLOOKUP(K16,Skill_Matching!$B$2:$B$200,Skill_Matching!$J$2:$J$200,""))</f>
        <v>Cloud &amp; MLOps</v>
      </c>
    </row>
    <row r="17" spans="1:13">
      <c r="A17">
        <v>13</v>
      </c>
      <c r="B17" t="s">
        <v>60</v>
      </c>
      <c r="C17" s="40">
        <f>_xlfn.XLOOKUP(K17,Industry_Skillset!$B:$B,Industry_Skillset!$C:$C,"")</f>
        <v>12</v>
      </c>
      <c r="D17" s="38">
        <f t="shared" si="0"/>
        <v>9.2307692307692313E-2</v>
      </c>
      <c r="E17" s="40" t="str">
        <f t="shared" si="1"/>
        <v>Tier 3</v>
      </c>
      <c r="F17" s="40">
        <f>IF(K17="","",_xlfn.XLOOKUP(K17,Skill_Matching!$B$2:$B$200,Skill_Matching!$F$2:$F$200,0))</f>
        <v>0</v>
      </c>
      <c r="G17" t="str">
        <f>IF(K17="","",_xlfn.XLOOKUP(K17,Skill_Matching!$B$2:$B$200,Skill_Matching!$H$2:$H$200,"Industry Only"))</f>
        <v>Industry Only</v>
      </c>
      <c r="H17" t="s">
        <v>394</v>
      </c>
      <c r="J17" t="s">
        <v>60</v>
      </c>
      <c r="K17" t="s">
        <v>60</v>
      </c>
      <c r="L17">
        <f>IF(K17="","",_xlfn.XLOOKUP(K17,Skill_Matching!$B$2:$B$200,Skill_Matching!$E$2:$E$200,""))</f>
        <v>0</v>
      </c>
      <c r="M17" t="str">
        <f>IF(K17="","",_xlfn.XLOOKUP(K17,Skill_Matching!$B$2:$B$200,Skill_Matching!$J$2:$J$200,""))</f>
        <v>Software Engineering</v>
      </c>
    </row>
    <row r="18" spans="1:13">
      <c r="A18">
        <v>14</v>
      </c>
      <c r="B18" t="s">
        <v>80</v>
      </c>
      <c r="C18" s="40">
        <f>_xlfn.XLOOKUP(K18,Industry_Skillset!$B:$B,Industry_Skillset!$C:$C,"")</f>
        <v>8</v>
      </c>
      <c r="D18" s="38">
        <f t="shared" si="0"/>
        <v>6.1538461538461542E-2</v>
      </c>
      <c r="E18" s="40" t="str">
        <f t="shared" si="1"/>
        <v>Tier 4</v>
      </c>
      <c r="F18" s="40">
        <f>IF(K18="","",_xlfn.XLOOKUP(K18,Skill_Matching!$B$2:$B$200,Skill_Matching!$F$2:$F$200,0))</f>
        <v>0</v>
      </c>
      <c r="G18" t="str">
        <f>IF(K18="","",_xlfn.XLOOKUP(K18,Skill_Matching!$B$2:$B$200,Skill_Matching!$H$2:$H$200,"Industry Only"))</f>
        <v>Industry Only</v>
      </c>
      <c r="H18" t="s">
        <v>400</v>
      </c>
      <c r="J18" t="s">
        <v>80</v>
      </c>
      <c r="K18" t="s">
        <v>80</v>
      </c>
      <c r="L18">
        <f>IF(K18="","",_xlfn.XLOOKUP(K18,Skill_Matching!$B$2:$B$200,Skill_Matching!$E$2:$E$200,""))</f>
        <v>0</v>
      </c>
      <c r="M18" t="str">
        <f>IF(K18="","",_xlfn.XLOOKUP(K18,Skill_Matching!$B$2:$B$200,Skill_Matching!$J$2:$J$200,""))</f>
        <v>Cloud &amp; MLOps</v>
      </c>
    </row>
    <row r="21" spans="1:13">
      <c r="B21" s="4"/>
      <c r="C21" s="4"/>
    </row>
    <row r="22" spans="1:13">
      <c r="A22" s="4"/>
      <c r="B22" s="39" t="s">
        <v>403</v>
      </c>
      <c r="D22" s="4"/>
      <c r="F22" s="4"/>
      <c r="G22" s="4"/>
    </row>
    <row r="23" spans="1:13">
      <c r="A23" s="4"/>
      <c r="B23" t="s">
        <v>404</v>
      </c>
      <c r="C23">
        <f>COUNTA(B5:B18)</f>
        <v>14</v>
      </c>
    </row>
    <row r="24" spans="1:13">
      <c r="B24" t="s">
        <v>405</v>
      </c>
      <c r="C24">
        <f>COUNTIF(G5:G18,"Covered")</f>
        <v>2</v>
      </c>
    </row>
    <row r="25" spans="1:13">
      <c r="B25" t="s">
        <v>406</v>
      </c>
      <c r="C25">
        <f>COUNTIF(G5:G18,"Partially Covered")</f>
        <v>2</v>
      </c>
      <c r="E25" s="4"/>
    </row>
    <row r="26" spans="1:13">
      <c r="B26" t="s">
        <v>407</v>
      </c>
      <c r="C26">
        <f>COUNTIF(G5:G18,"Industry Only")</f>
        <v>10</v>
      </c>
    </row>
    <row r="27" spans="1:13">
      <c r="B27" s="4" t="s">
        <v>408</v>
      </c>
      <c r="C27" s="42">
        <f>COUNTIF(G5:G18,"Covered")/COUNTA(B5:B18)</f>
        <v>0.14285714285714285</v>
      </c>
    </row>
    <row r="28" spans="1:13">
      <c r="A28" s="4"/>
      <c r="B28" s="42" t="s">
        <v>409</v>
      </c>
      <c r="C28" s="42">
        <f>(COUNTIF(G5:G18,"Covered")+COUNTIF(G5:G18,"Partially Covered"))/COUNTA(B5:B18)</f>
        <v>0.2857142857142857</v>
      </c>
    </row>
    <row r="31" spans="1:13">
      <c r="B31" s="4" t="s">
        <v>389</v>
      </c>
      <c r="C31" s="39" t="s">
        <v>410</v>
      </c>
      <c r="D31" s="39" t="s">
        <v>321</v>
      </c>
      <c r="E31" s="39" t="s">
        <v>325</v>
      </c>
      <c r="F31" s="39" t="s">
        <v>323</v>
      </c>
      <c r="G31" s="39" t="s">
        <v>411</v>
      </c>
      <c r="H31" s="39" t="s">
        <v>412</v>
      </c>
    </row>
    <row r="32" spans="1:13">
      <c r="B32" t="s">
        <v>29</v>
      </c>
      <c r="C32">
        <f>COUNTIF($H$5:$H$18,B32)</f>
        <v>1</v>
      </c>
      <c r="D32">
        <f>COUNTIFS($H$5:$H$18,B32,$G$5:$G$18,"Covered")</f>
        <v>1</v>
      </c>
      <c r="E32">
        <f>COUNTIFS($H$5:$H$18,B32,$G$5:$G$18,"Partially Covered")</f>
        <v>0</v>
      </c>
      <c r="F32">
        <f>COUNTIFS($H$5:$H$18,B32,$G$5:$G$18,"Industry Only")</f>
        <v>0</v>
      </c>
      <c r="G32" s="6">
        <f>IF(C32=0,0,D32/C32)</f>
        <v>1</v>
      </c>
      <c r="H32" s="38">
        <f>IF(C32=0,0,(D32+E32)/C32)</f>
        <v>1</v>
      </c>
    </row>
    <row r="33" spans="2:8">
      <c r="B33" t="s">
        <v>393</v>
      </c>
      <c r="C33">
        <f t="shared" ref="C33:C37" si="2">COUNTIF($H$5:$H$18,B33)</f>
        <v>2</v>
      </c>
      <c r="D33">
        <f t="shared" ref="D33:D37" si="3">COUNTIFS($H$5:$H$18,B33,$G$5:$G$18,"Covered")</f>
        <v>0</v>
      </c>
      <c r="E33">
        <f t="shared" ref="E33:E38" si="4">COUNTIFS($H$5:$H$18,B33,$G$5:$G$18,"Partially Covered")</f>
        <v>1</v>
      </c>
      <c r="F33">
        <f t="shared" ref="F33:F37" si="5">COUNTIFS($H$5:$H$18,B33,$G$5:$G$18,"Industry Only")</f>
        <v>1</v>
      </c>
      <c r="G33" s="6">
        <f t="shared" ref="G33:G37" si="6">IF(C33=0,0,D33/C33)</f>
        <v>0</v>
      </c>
      <c r="H33" s="38">
        <f t="shared" ref="H33:H37" si="7">IF(C33=0,0,(D33+E33)/C33)</f>
        <v>0.5</v>
      </c>
    </row>
    <row r="34" spans="2:8">
      <c r="B34" t="s">
        <v>394</v>
      </c>
      <c r="C34">
        <f t="shared" si="2"/>
        <v>4</v>
      </c>
      <c r="D34">
        <f t="shared" si="3"/>
        <v>0</v>
      </c>
      <c r="E34">
        <f t="shared" si="4"/>
        <v>0</v>
      </c>
      <c r="F34">
        <f t="shared" si="5"/>
        <v>4</v>
      </c>
      <c r="G34" s="6">
        <f t="shared" si="6"/>
        <v>0</v>
      </c>
      <c r="H34" s="38">
        <f t="shared" si="7"/>
        <v>0</v>
      </c>
    </row>
    <row r="35" spans="2:8">
      <c r="B35" t="s">
        <v>397</v>
      </c>
      <c r="C35">
        <f t="shared" si="2"/>
        <v>3</v>
      </c>
      <c r="D35">
        <f t="shared" si="3"/>
        <v>0</v>
      </c>
      <c r="E35">
        <f t="shared" si="4"/>
        <v>1</v>
      </c>
      <c r="F35">
        <f t="shared" si="5"/>
        <v>2</v>
      </c>
      <c r="G35" s="6">
        <f t="shared" si="6"/>
        <v>0</v>
      </c>
      <c r="H35" s="38">
        <f t="shared" si="7"/>
        <v>0.33333333333333331</v>
      </c>
    </row>
    <row r="36" spans="2:8">
      <c r="B36" t="s">
        <v>400</v>
      </c>
      <c r="C36">
        <f t="shared" si="2"/>
        <v>3</v>
      </c>
      <c r="D36">
        <f t="shared" si="3"/>
        <v>0</v>
      </c>
      <c r="E36">
        <f t="shared" si="4"/>
        <v>0</v>
      </c>
      <c r="F36">
        <f t="shared" si="5"/>
        <v>3</v>
      </c>
      <c r="G36" s="6">
        <f t="shared" si="6"/>
        <v>0</v>
      </c>
      <c r="H36" s="38">
        <f t="shared" si="7"/>
        <v>0</v>
      </c>
    </row>
    <row r="37" spans="2:8">
      <c r="B37" t="s">
        <v>402</v>
      </c>
      <c r="C37">
        <f t="shared" si="2"/>
        <v>1</v>
      </c>
      <c r="D37">
        <f t="shared" si="3"/>
        <v>1</v>
      </c>
      <c r="E37">
        <f t="shared" si="4"/>
        <v>0</v>
      </c>
      <c r="F37">
        <f t="shared" si="5"/>
        <v>0</v>
      </c>
      <c r="G37" s="6">
        <f t="shared" si="6"/>
        <v>1</v>
      </c>
      <c r="H37" s="38">
        <f t="shared" si="7"/>
        <v>1</v>
      </c>
    </row>
    <row r="38" spans="2:8">
      <c r="H38" s="40"/>
    </row>
    <row r="39" spans="2:8">
      <c r="H39" s="40"/>
    </row>
    <row r="40" spans="2:8">
      <c r="H40" s="40"/>
    </row>
    <row r="41" spans="2:8">
      <c r="H41" s="40"/>
    </row>
    <row r="42" spans="2:8">
      <c r="H42" s="40"/>
    </row>
    <row r="43" spans="2:8">
      <c r="H43" s="40"/>
    </row>
    <row r="44" spans="2:8">
      <c r="H44" s="40"/>
    </row>
    <row r="45" spans="2:8">
      <c r="H45" s="40"/>
    </row>
    <row r="46" spans="2:8">
      <c r="H46" s="40"/>
    </row>
    <row r="47" spans="2:8">
      <c r="H47" s="40"/>
    </row>
    <row r="48" spans="2:8">
      <c r="H48" s="40"/>
    </row>
    <row r="49" spans="8:8">
      <c r="H49" s="40"/>
    </row>
    <row r="50" spans="8:8">
      <c r="H50" s="40"/>
    </row>
    <row r="51" spans="8:8">
      <c r="H51" s="40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F69C-1B24-4549-B60C-830A51B4C59F}">
  <dimension ref="A1:J106"/>
  <sheetViews>
    <sheetView workbookViewId="0">
      <selection activeCell="A2" sqref="A2:J2"/>
    </sheetView>
  </sheetViews>
  <sheetFormatPr defaultRowHeight="15"/>
  <cols>
    <col min="2" max="2" width="35" customWidth="1"/>
    <col min="3" max="3" width="19" customWidth="1"/>
    <col min="4" max="4" width="33.5703125" customWidth="1"/>
    <col min="5" max="5" width="15.85546875" customWidth="1"/>
    <col min="6" max="6" width="17.5703125" customWidth="1"/>
    <col min="7" max="7" width="25.28515625" customWidth="1"/>
    <col min="8" max="8" width="24" customWidth="1"/>
    <col min="9" max="9" width="15.85546875" customWidth="1"/>
    <col min="10" max="10" width="27.42578125" customWidth="1"/>
  </cols>
  <sheetData>
    <row r="1" spans="1:10">
      <c r="A1" s="45" t="s">
        <v>413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45" t="s">
        <v>414</v>
      </c>
      <c r="B2" s="45"/>
      <c r="C2" s="45"/>
      <c r="D2" s="45"/>
      <c r="E2" s="45"/>
      <c r="F2" s="45"/>
      <c r="G2" s="45"/>
      <c r="H2" s="45"/>
      <c r="I2" s="45"/>
      <c r="J2" s="45"/>
    </row>
    <row r="4" spans="1:10">
      <c r="A4" s="39" t="s">
        <v>0</v>
      </c>
      <c r="B4" s="39" t="s">
        <v>310</v>
      </c>
      <c r="C4" s="39" t="s">
        <v>415</v>
      </c>
      <c r="D4" s="39" t="s">
        <v>314</v>
      </c>
      <c r="E4" s="39" t="s">
        <v>416</v>
      </c>
      <c r="F4" s="39" t="s">
        <v>417</v>
      </c>
      <c r="G4" s="39" t="s">
        <v>418</v>
      </c>
      <c r="H4" s="39" t="s">
        <v>419</v>
      </c>
      <c r="I4" s="39" t="s">
        <v>317</v>
      </c>
      <c r="J4" s="39" t="s">
        <v>319</v>
      </c>
    </row>
    <row r="5" spans="1:10">
      <c r="A5" cm="1">
        <f t="array" ref="A5:A85">_xlfn.SEQUENCE(ROWS(_xlfn.ANCHORARRAY(B5)))</f>
        <v>1</v>
      </c>
      <c r="B5" t="str" cm="1">
        <f t="array" ref="B5:B85">_xlfn._xlws.FILTER(Skill_Matching!$A$2:$A$200,Skill_Matching!$B$2:$B$200&lt;&gt;"")</f>
        <v>Python</v>
      </c>
      <c r="C5" s="40">
        <f>_xlfn.XLOOKUP(B5,Industry_Skillset!$B$2:$B$200,Industry_Skillset!$A$2:$A$200,"")</f>
        <v>1</v>
      </c>
      <c r="D5" t="str">
        <f>IF(B5="","",IF(_xlfn.XLOOKUP(B5,Skill_Matching!$A$2:$A$200,Skill_Matching!$E$2:$E$200,"")=0,"",_xlfn.XLOOKUP(B5,Skill_Matching!$A$2:$A$200,Skill_Matching!$E$2:$E$200,"")))</f>
        <v>Python</v>
      </c>
      <c r="E5" s="40">
        <f>IF(D5="","",_xlfn.XLOOKUP(D5,Curriculum_Skillset!$B$2:$B$200,Curriculum_Skillset!$A$2:$A$200,""))</f>
        <v>2</v>
      </c>
      <c r="F5" s="40">
        <f>IF(OR(C5="",E5=""),"",C5-E5)</f>
        <v>-1</v>
      </c>
      <c r="G5" s="40">
        <f>IF(F5="","",ABS(F5))</f>
        <v>1</v>
      </c>
      <c r="H5" s="40" t="str">
        <f>IF(E5="","No Curriculum Match",IF(F5&lt;0,"Curriculum Lags",IF(F5&gt;0,"Curriculum Leads","Aligned")))</f>
        <v>Curriculum Lags</v>
      </c>
      <c r="I5" t="str">
        <f>_xlfn.XLOOKUP(B5,Skill_Matching!$A$2:$A$200,Skill_Matching!$H$2:$H$200,"")</f>
        <v>Covered</v>
      </c>
      <c r="J5" t="str">
        <f>_xlfn.XLOOKUP(B5,Skill_Matching!$A$2:$A$200,Skill_Matching!$J$2:$J$200,"")</f>
        <v>Programming Languages</v>
      </c>
    </row>
    <row r="6" spans="1:10">
      <c r="A6">
        <v>2</v>
      </c>
      <c r="B6" t="str">
        <v>Communication &amp; Collaboration</v>
      </c>
      <c r="C6" s="40">
        <f>_xlfn.XLOOKUP(B6,Industry_Skillset!$B$2:$B$200,Industry_Skillset!$A$2:$A$200,"")</f>
        <v>2</v>
      </c>
      <c r="D6" t="str">
        <f>IF(B6="","",IF(_xlfn.XLOOKUP(B6,Skill_Matching!$A$2:$A$200,Skill_Matching!$E$2:$E$200,"")=0,"",_xlfn.XLOOKUP(B6,Skill_Matching!$A$2:$A$200,Skill_Matching!$E$2:$E$200,"")))</f>
        <v/>
      </c>
      <c r="E6" s="40" t="str">
        <f>IF(D6="","",_xlfn.XLOOKUP(D6,Curriculum_Skillset!$B$2:$B$200,Curriculum_Skillset!$A$2:$A$200,""))</f>
        <v/>
      </c>
      <c r="F6" s="40" t="str">
        <f t="shared" ref="F6:F69" si="0">IF(OR(C6="",E6=""),"",C6-E6)</f>
        <v/>
      </c>
      <c r="G6" s="40" t="str">
        <f t="shared" ref="G6:G69" si="1">IF(F6="","",ABS(F6))</f>
        <v/>
      </c>
      <c r="H6" s="40" t="str">
        <f t="shared" ref="H6:H69" si="2">IF(E6="","No Curriculum Match",IF(F6&lt;0,"Curriculum Lags",IF(F6&gt;0,"Curriculum Leads","Aligned")))</f>
        <v>No Curriculum Match</v>
      </c>
      <c r="I6" t="str">
        <f>_xlfn.XLOOKUP(B6,Skill_Matching!$A$2:$A$200,Skill_Matching!$H$2:$H$200,"")</f>
        <v>Industry Only</v>
      </c>
      <c r="J6" t="str">
        <f>_xlfn.XLOOKUP(B6,Skill_Matching!$A$2:$A$200,Skill_Matching!$J$2:$J$200,"")</f>
        <v>Professional &amp; Soft Skills</v>
      </c>
    </row>
    <row r="7" spans="1:10">
      <c r="A7">
        <v>3</v>
      </c>
      <c r="B7" t="str">
        <v>Machine Learning</v>
      </c>
      <c r="C7" s="40">
        <f>_xlfn.XLOOKUP(B7,Industry_Skillset!$B$2:$B$200,Industry_Skillset!$A$2:$A$200,"")</f>
        <v>3</v>
      </c>
      <c r="D7" t="str">
        <f>IF(B7="","",IF(_xlfn.XLOOKUP(B7,Skill_Matching!$A$2:$A$200,Skill_Matching!$E$2:$E$200,"")=0,"",_xlfn.XLOOKUP(B7,Skill_Matching!$A$2:$A$200,Skill_Matching!$E$2:$E$200,"")))</f>
        <v>Machine Learning</v>
      </c>
      <c r="E7" s="40">
        <f>IF(D7="","",_xlfn.XLOOKUP(D7,Curriculum_Skillset!$B$2:$B$200,Curriculum_Skillset!$A$2:$A$200,""))</f>
        <v>3</v>
      </c>
      <c r="F7" s="40">
        <f t="shared" si="0"/>
        <v>0</v>
      </c>
      <c r="G7" s="40">
        <f t="shared" si="1"/>
        <v>0</v>
      </c>
      <c r="H7" s="40" t="str">
        <f t="shared" si="2"/>
        <v>Aligned</v>
      </c>
      <c r="I7" t="str">
        <f>_xlfn.XLOOKUP(B7,Skill_Matching!$A$2:$A$200,Skill_Matching!$H$2:$H$200,"")</f>
        <v>Covered</v>
      </c>
      <c r="J7" t="str">
        <f>_xlfn.XLOOKUP(B7,Skill_Matching!$A$2:$A$200,Skill_Matching!$J$2:$J$200,"")</f>
        <v>Machine Learning</v>
      </c>
    </row>
    <row r="8" spans="1:10">
      <c r="A8">
        <v>4</v>
      </c>
      <c r="B8" t="str">
        <v>Analytical Thinking &amp; Problem Solving</v>
      </c>
      <c r="C8" s="40">
        <f>_xlfn.XLOOKUP(B8,Industry_Skillset!$B$2:$B$200,Industry_Skillset!$A$2:$A$200,"")</f>
        <v>4</v>
      </c>
      <c r="D8" t="str">
        <f>IF(B8="","",IF(_xlfn.XLOOKUP(B8,Skill_Matching!$A$2:$A$200,Skill_Matching!$E$2:$E$200,"")=0,"",_xlfn.XLOOKUP(B8,Skill_Matching!$A$2:$A$200,Skill_Matching!$E$2:$E$200,"")))</f>
        <v/>
      </c>
      <c r="E8" s="40" t="str">
        <f>IF(D8="","",_xlfn.XLOOKUP(D8,Curriculum_Skillset!$B$2:$B$200,Curriculum_Skillset!$A$2:$A$200,""))</f>
        <v/>
      </c>
      <c r="F8" s="40" t="str">
        <f t="shared" si="0"/>
        <v/>
      </c>
      <c r="G8" s="40" t="str">
        <f t="shared" si="1"/>
        <v/>
      </c>
      <c r="H8" s="40" t="str">
        <f t="shared" si="2"/>
        <v>No Curriculum Match</v>
      </c>
      <c r="I8" t="str">
        <f>_xlfn.XLOOKUP(B8,Skill_Matching!$A$2:$A$200,Skill_Matching!$H$2:$H$200,"")</f>
        <v>Industry Only</v>
      </c>
      <c r="J8" t="str">
        <f>_xlfn.XLOOKUP(B8,Skill_Matching!$A$2:$A$200,Skill_Matching!$J$2:$J$200,"")</f>
        <v>Professional &amp; Soft Skills</v>
      </c>
    </row>
    <row r="9" spans="1:10">
      <c r="A9">
        <v>5</v>
      </c>
      <c r="B9" t="str">
        <v>SQL</v>
      </c>
      <c r="C9" s="40">
        <f>_xlfn.XLOOKUP(B9,Industry_Skillset!$B$2:$B$200,Industry_Skillset!$A$2:$A$200,"")</f>
        <v>5</v>
      </c>
      <c r="D9" t="str">
        <f>IF(B9="","",IF(_xlfn.XLOOKUP(B9,Skill_Matching!$A$2:$A$200,Skill_Matching!$E$2:$E$200,"")=0,"",_xlfn.XLOOKUP(B9,Skill_Matching!$A$2:$A$200,Skill_Matching!$E$2:$E$200,"")))</f>
        <v>SQL</v>
      </c>
      <c r="E9" s="40">
        <f>IF(D9="","",_xlfn.XLOOKUP(D9,Curriculum_Skillset!$B$2:$B$200,Curriculum_Skillset!$A$2:$A$200,""))</f>
        <v>19</v>
      </c>
      <c r="F9" s="40">
        <f t="shared" si="0"/>
        <v>-14</v>
      </c>
      <c r="G9" s="40">
        <f t="shared" si="1"/>
        <v>14</v>
      </c>
      <c r="H9" s="40" t="str">
        <f t="shared" si="2"/>
        <v>Curriculum Lags</v>
      </c>
      <c r="I9" t="str">
        <f>_xlfn.XLOOKUP(B9,Skill_Matching!$A$2:$A$200,Skill_Matching!$H$2:$H$200,"")</f>
        <v>Covered</v>
      </c>
      <c r="J9" t="str">
        <f>_xlfn.XLOOKUP(B9,Skill_Matching!$A$2:$A$200,Skill_Matching!$J$2:$J$200,"")</f>
        <v>Databases &amp; SQL</v>
      </c>
    </row>
    <row r="10" spans="1:10">
      <c r="A10">
        <v>6</v>
      </c>
      <c r="B10" t="str">
        <v>Cloud Platforms (AWS / Azure / GCP)</v>
      </c>
      <c r="C10" s="40">
        <f>_xlfn.XLOOKUP(B10,Industry_Skillset!$B$2:$B$200,Industry_Skillset!$A$2:$A$200,"")</f>
        <v>6</v>
      </c>
      <c r="D10" t="str">
        <f>IF(B10="","",IF(_xlfn.XLOOKUP(B10,Skill_Matching!$A$2:$A$200,Skill_Matching!$E$2:$E$200,"")=0,"",_xlfn.XLOOKUP(B10,Skill_Matching!$A$2:$A$200,Skill_Matching!$E$2:$E$200,"")))</f>
        <v>Cloud Platforms (AWS/Azure/GCP)</v>
      </c>
      <c r="E10" s="40">
        <f>IF(D10="","",_xlfn.XLOOKUP(D10,Curriculum_Skillset!$B$2:$B$200,Curriculum_Skillset!$A$2:$A$200,""))</f>
        <v>38</v>
      </c>
      <c r="F10" s="40">
        <f t="shared" si="0"/>
        <v>-32</v>
      </c>
      <c r="G10" s="40">
        <f t="shared" si="1"/>
        <v>32</v>
      </c>
      <c r="H10" s="40" t="str">
        <f t="shared" si="2"/>
        <v>Curriculum Lags</v>
      </c>
      <c r="I10" t="str">
        <f>_xlfn.XLOOKUP(B10,Skill_Matching!$A$2:$A$200,Skill_Matching!$H$2:$H$200,"")</f>
        <v>Covered</v>
      </c>
      <c r="J10" t="str">
        <f>_xlfn.XLOOKUP(B10,Skill_Matching!$A$2:$A$200,Skill_Matching!$J$2:$J$200,"")</f>
        <v>Cloud &amp; MLOps</v>
      </c>
    </row>
    <row r="11" spans="1:10">
      <c r="A11">
        <v>7</v>
      </c>
      <c r="B11" t="str">
        <v>Scikit-learn / NumPy / Pandas</v>
      </c>
      <c r="C11" s="40">
        <f>_xlfn.XLOOKUP(B11,Industry_Skillset!$B$2:$B$200,Industry_Skillset!$A$2:$A$200,"")</f>
        <v>7</v>
      </c>
      <c r="D11" t="str">
        <f>IF(B11="","",IF(_xlfn.XLOOKUP(B11,Skill_Matching!$A$2:$A$200,Skill_Matching!$E$2:$E$200,"")=0,"",_xlfn.XLOOKUP(B11,Skill_Matching!$A$2:$A$200,Skill_Matching!$E$2:$E$200,"")))</f>
        <v>Machine Learning</v>
      </c>
      <c r="E11" s="40">
        <f>IF(D11="","",_xlfn.XLOOKUP(D11,Curriculum_Skillset!$B$2:$B$200,Curriculum_Skillset!$A$2:$A$200,""))</f>
        <v>3</v>
      </c>
      <c r="F11" s="40">
        <f t="shared" si="0"/>
        <v>4</v>
      </c>
      <c r="G11" s="40">
        <f t="shared" si="1"/>
        <v>4</v>
      </c>
      <c r="H11" s="40" t="str">
        <f t="shared" si="2"/>
        <v>Curriculum Leads</v>
      </c>
      <c r="I11" t="str">
        <f>_xlfn.XLOOKUP(B11,Skill_Matching!$A$2:$A$200,Skill_Matching!$H$2:$H$200,"")</f>
        <v>Partially Covered</v>
      </c>
      <c r="J11" t="str">
        <f>_xlfn.XLOOKUP(B11,Skill_Matching!$A$2:$A$200,Skill_Matching!$J$2:$J$200,"")</f>
        <v>Machine Learning</v>
      </c>
    </row>
    <row r="12" spans="1:10">
      <c r="A12">
        <v>8</v>
      </c>
      <c r="B12" t="str">
        <v>Statistical Analysis</v>
      </c>
      <c r="C12" s="40">
        <f>_xlfn.XLOOKUP(B12,Industry_Skillset!$B$2:$B$200,Industry_Skillset!$A$2:$A$200,"")</f>
        <v>8</v>
      </c>
      <c r="D12" t="str">
        <f>IF(B12="","",IF(_xlfn.XLOOKUP(B12,Skill_Matching!$A$2:$A$200,Skill_Matching!$E$2:$E$200,"")=0,"",_xlfn.XLOOKUP(B12,Skill_Matching!$A$2:$A$200,Skill_Matching!$E$2:$E$200,"")))</f>
        <v>Statistics</v>
      </c>
      <c r="E12" s="40">
        <f>IF(D12="","",_xlfn.XLOOKUP(D12,Curriculum_Skillset!$B$2:$B$200,Curriculum_Skillset!$A$2:$A$200,""))</f>
        <v>1</v>
      </c>
      <c r="F12" s="40">
        <f t="shared" si="0"/>
        <v>7</v>
      </c>
      <c r="G12" s="40">
        <f t="shared" si="1"/>
        <v>7</v>
      </c>
      <c r="H12" s="40" t="str">
        <f t="shared" si="2"/>
        <v>Curriculum Leads</v>
      </c>
      <c r="I12" t="str">
        <f>_xlfn.XLOOKUP(B12,Skill_Matching!$A$2:$A$200,Skill_Matching!$H$2:$H$200,"")</f>
        <v>Covered</v>
      </c>
      <c r="J12" t="str">
        <f>_xlfn.XLOOKUP(B12,Skill_Matching!$A$2:$A$200,Skill_Matching!$J$2:$J$200,"")</f>
        <v>Data Analysis &amp; Statistics</v>
      </c>
    </row>
    <row r="13" spans="1:10">
      <c r="A13">
        <v>9</v>
      </c>
      <c r="B13" t="str">
        <v>Large Language Models (LLMs)</v>
      </c>
      <c r="C13" s="40">
        <f>_xlfn.XLOOKUP(B13,Industry_Skillset!$B$2:$B$200,Industry_Skillset!$A$2:$A$200,"")</f>
        <v>9</v>
      </c>
      <c r="D13" t="str">
        <f>IF(B13="","",IF(_xlfn.XLOOKUP(B13,Skill_Matching!$A$2:$A$200,Skill_Matching!$E$2:$E$200,"")=0,"",_xlfn.XLOOKUP(B13,Skill_Matching!$A$2:$A$200,Skill_Matching!$E$2:$E$200,"")))</f>
        <v>Natural Language Processing</v>
      </c>
      <c r="E13" s="40">
        <f>IF(D13="","",_xlfn.XLOOKUP(D13,Curriculum_Skillset!$B$2:$B$200,Curriculum_Skillset!$A$2:$A$200,""))</f>
        <v>9</v>
      </c>
      <c r="F13" s="40">
        <f t="shared" si="0"/>
        <v>0</v>
      </c>
      <c r="G13" s="40">
        <f t="shared" si="1"/>
        <v>0</v>
      </c>
      <c r="H13" s="40" t="str">
        <f t="shared" si="2"/>
        <v>Aligned</v>
      </c>
      <c r="I13" t="str">
        <f>_xlfn.XLOOKUP(B13,Skill_Matching!$A$2:$A$200,Skill_Matching!$H$2:$H$200,"")</f>
        <v>Partially Covered</v>
      </c>
      <c r="J13" t="str">
        <f>_xlfn.XLOOKUP(B13,Skill_Matching!$A$2:$A$200,Skill_Matching!$J$2:$J$200,"")</f>
        <v>Generative AI &amp; NLP</v>
      </c>
    </row>
    <row r="14" spans="1:10">
      <c r="A14">
        <v>10</v>
      </c>
      <c r="B14" t="str">
        <v>Generative AI</v>
      </c>
      <c r="C14" s="40">
        <f>_xlfn.XLOOKUP(B14,Industry_Skillset!$B$2:$B$200,Industry_Skillset!$A$2:$A$200,"")</f>
        <v>10</v>
      </c>
      <c r="D14" t="str">
        <f>IF(B14="","",IF(_xlfn.XLOOKUP(B14,Skill_Matching!$A$2:$A$200,Skill_Matching!$E$2:$E$200,"")=0,"",_xlfn.XLOOKUP(B14,Skill_Matching!$A$2:$A$200,Skill_Matching!$E$2:$E$200,"")))</f>
        <v>Generative AI</v>
      </c>
      <c r="E14" s="40">
        <f>IF(D14="","",_xlfn.XLOOKUP(D14,Curriculum_Skillset!$B$2:$B$200,Curriculum_Skillset!$A$2:$A$200,""))</f>
        <v>51</v>
      </c>
      <c r="F14" s="40">
        <f t="shared" si="0"/>
        <v>-41</v>
      </c>
      <c r="G14" s="40">
        <f t="shared" si="1"/>
        <v>41</v>
      </c>
      <c r="H14" s="40" t="str">
        <f t="shared" si="2"/>
        <v>Curriculum Lags</v>
      </c>
      <c r="I14" t="str">
        <f>_xlfn.XLOOKUP(B14,Skill_Matching!$A$2:$A$200,Skill_Matching!$H$2:$H$200,"")</f>
        <v>Covered</v>
      </c>
      <c r="J14" t="str">
        <f>_xlfn.XLOOKUP(B14,Skill_Matching!$A$2:$A$200,Skill_Matching!$J$2:$J$200,"")</f>
        <v>Generative AI &amp; NLP</v>
      </c>
    </row>
    <row r="15" spans="1:10">
      <c r="A15">
        <v>11</v>
      </c>
      <c r="B15" t="str">
        <v>PyTorch</v>
      </c>
      <c r="C15" s="40">
        <f>_xlfn.XLOOKUP(B15,Industry_Skillset!$B$2:$B$200,Industry_Skillset!$A$2:$A$200,"")</f>
        <v>11</v>
      </c>
      <c r="D15" t="str">
        <f>IF(B15="","",IF(_xlfn.XLOOKUP(B15,Skill_Matching!$A$2:$A$200,Skill_Matching!$E$2:$E$200,"")=0,"",_xlfn.XLOOKUP(B15,Skill_Matching!$A$2:$A$200,Skill_Matching!$E$2:$E$200,"")))</f>
        <v>Deep Learning</v>
      </c>
      <c r="E15" s="40">
        <f>IF(D15="","",_xlfn.XLOOKUP(D15,Curriculum_Skillset!$B$2:$B$200,Curriculum_Skillset!$A$2:$A$200,""))</f>
        <v>5</v>
      </c>
      <c r="F15" s="40">
        <f t="shared" si="0"/>
        <v>6</v>
      </c>
      <c r="G15" s="40">
        <f t="shared" si="1"/>
        <v>6</v>
      </c>
      <c r="H15" s="40" t="str">
        <f t="shared" si="2"/>
        <v>Curriculum Leads</v>
      </c>
      <c r="I15" t="str">
        <f>_xlfn.XLOOKUP(B15,Skill_Matching!$A$2:$A$200,Skill_Matching!$H$2:$H$200,"")</f>
        <v>Partially Covered</v>
      </c>
      <c r="J15" t="str">
        <f>_xlfn.XLOOKUP(B15,Skill_Matching!$A$2:$A$200,Skill_Matching!$J$2:$J$200,"")</f>
        <v>Deep Learning</v>
      </c>
    </row>
    <row r="16" spans="1:10">
      <c r="A16">
        <v>12</v>
      </c>
      <c r="B16" t="str">
        <v>TensorFlow / Keras</v>
      </c>
      <c r="C16" s="40">
        <f>_xlfn.XLOOKUP(B16,Industry_Skillset!$B$2:$B$200,Industry_Skillset!$A$2:$A$200,"")</f>
        <v>12</v>
      </c>
      <c r="D16" t="str">
        <f>IF(B16="","",IF(_xlfn.XLOOKUP(B16,Skill_Matching!$A$2:$A$200,Skill_Matching!$E$2:$E$200,"")=0,"",_xlfn.XLOOKUP(B16,Skill_Matching!$A$2:$A$200,Skill_Matching!$E$2:$E$200,"")))</f>
        <v>Deep Learning</v>
      </c>
      <c r="E16" s="40">
        <f>IF(D16="","",_xlfn.XLOOKUP(D16,Curriculum_Skillset!$B$2:$B$200,Curriculum_Skillset!$A$2:$A$200,""))</f>
        <v>5</v>
      </c>
      <c r="F16" s="40">
        <f t="shared" si="0"/>
        <v>7</v>
      </c>
      <c r="G16" s="40">
        <f t="shared" si="1"/>
        <v>7</v>
      </c>
      <c r="H16" s="40" t="str">
        <f t="shared" si="2"/>
        <v>Curriculum Leads</v>
      </c>
      <c r="I16" t="str">
        <f>_xlfn.XLOOKUP(B16,Skill_Matching!$A$2:$A$200,Skill_Matching!$H$2:$H$200,"")</f>
        <v>Partially Covered</v>
      </c>
      <c r="J16" t="str">
        <f>_xlfn.XLOOKUP(B16,Skill_Matching!$A$2:$A$200,Skill_Matching!$J$2:$J$200,"")</f>
        <v>Deep Learning</v>
      </c>
    </row>
    <row r="17" spans="1:10">
      <c r="A17">
        <v>13</v>
      </c>
      <c r="B17" t="str">
        <v>Data Visualization</v>
      </c>
      <c r="C17" s="40">
        <f>_xlfn.XLOOKUP(B17,Industry_Skillset!$B$2:$B$200,Industry_Skillset!$A$2:$A$200,"")</f>
        <v>13</v>
      </c>
      <c r="D17" t="str">
        <f>IF(B17="","",IF(_xlfn.XLOOKUP(B17,Skill_Matching!$A$2:$A$200,Skill_Matching!$E$2:$E$200,"")=0,"",_xlfn.XLOOKUP(B17,Skill_Matching!$A$2:$A$200,Skill_Matching!$E$2:$E$200,"")))</f>
        <v>Data Visualization</v>
      </c>
      <c r="E17" s="40">
        <f>IF(D17="","",_xlfn.XLOOKUP(D17,Curriculum_Skillset!$B$2:$B$200,Curriculum_Skillset!$A$2:$A$200,""))</f>
        <v>18</v>
      </c>
      <c r="F17" s="40">
        <f t="shared" si="0"/>
        <v>-5</v>
      </c>
      <c r="G17" s="40">
        <f t="shared" si="1"/>
        <v>5</v>
      </c>
      <c r="H17" s="40" t="str">
        <f t="shared" si="2"/>
        <v>Curriculum Lags</v>
      </c>
      <c r="I17" t="str">
        <f>_xlfn.XLOOKUP(B17,Skill_Matching!$A$2:$A$200,Skill_Matching!$H$2:$H$200,"")</f>
        <v>Covered</v>
      </c>
      <c r="J17" t="str">
        <f>_xlfn.XLOOKUP(B17,Skill_Matching!$A$2:$A$200,Skill_Matching!$J$2:$J$200,"")</f>
        <v>Data Visualization &amp; BI</v>
      </c>
    </row>
    <row r="18" spans="1:10">
      <c r="A18">
        <v>14</v>
      </c>
      <c r="B18" t="str">
        <v>Natural Language Processing (NLP)</v>
      </c>
      <c r="C18" s="40">
        <f>_xlfn.XLOOKUP(B18,Industry_Skillset!$B$2:$B$200,Industry_Skillset!$A$2:$A$200,"")</f>
        <v>14</v>
      </c>
      <c r="D18" t="str">
        <f>IF(B18="","",IF(_xlfn.XLOOKUP(B18,Skill_Matching!$A$2:$A$200,Skill_Matching!$E$2:$E$200,"")=0,"",_xlfn.XLOOKUP(B18,Skill_Matching!$A$2:$A$200,Skill_Matching!$E$2:$E$200,"")))</f>
        <v>Natural Language Processing</v>
      </c>
      <c r="E18" s="40">
        <f>IF(D18="","",_xlfn.XLOOKUP(D18,Curriculum_Skillset!$B$2:$B$200,Curriculum_Skillset!$A$2:$A$200,""))</f>
        <v>9</v>
      </c>
      <c r="F18" s="40">
        <f t="shared" si="0"/>
        <v>5</v>
      </c>
      <c r="G18" s="40">
        <f t="shared" si="1"/>
        <v>5</v>
      </c>
      <c r="H18" s="40" t="str">
        <f t="shared" si="2"/>
        <v>Curriculum Leads</v>
      </c>
      <c r="I18" t="str">
        <f>_xlfn.XLOOKUP(B18,Skill_Matching!$A$2:$A$200,Skill_Matching!$H$2:$H$200,"")</f>
        <v>Covered</v>
      </c>
      <c r="J18" t="str">
        <f>_xlfn.XLOOKUP(B18,Skill_Matching!$A$2:$A$200,Skill_Matching!$J$2:$J$200,"")</f>
        <v>Generative AI &amp; NLP</v>
      </c>
    </row>
    <row r="19" spans="1:10">
      <c r="A19">
        <v>15</v>
      </c>
      <c r="B19" t="str">
        <v>Deep Learning</v>
      </c>
      <c r="C19" s="40">
        <f>_xlfn.XLOOKUP(B19,Industry_Skillset!$B$2:$B$200,Industry_Skillset!$A$2:$A$200,"")</f>
        <v>15</v>
      </c>
      <c r="D19" t="str">
        <f>IF(B19="","",IF(_xlfn.XLOOKUP(B19,Skill_Matching!$A$2:$A$200,Skill_Matching!$E$2:$E$200,"")=0,"",_xlfn.XLOOKUP(B19,Skill_Matching!$A$2:$A$200,Skill_Matching!$E$2:$E$200,"")))</f>
        <v>Deep Learning</v>
      </c>
      <c r="E19" s="40">
        <f>IF(D19="","",_xlfn.XLOOKUP(D19,Curriculum_Skillset!$B$2:$B$200,Curriculum_Skillset!$A$2:$A$200,""))</f>
        <v>5</v>
      </c>
      <c r="F19" s="40">
        <f t="shared" si="0"/>
        <v>10</v>
      </c>
      <c r="G19" s="40">
        <f t="shared" si="1"/>
        <v>10</v>
      </c>
      <c r="H19" s="40" t="str">
        <f t="shared" si="2"/>
        <v>Curriculum Leads</v>
      </c>
      <c r="I19" t="str">
        <f>_xlfn.XLOOKUP(B19,Skill_Matching!$A$2:$A$200,Skill_Matching!$H$2:$H$200,"")</f>
        <v>Covered</v>
      </c>
      <c r="J19" t="str">
        <f>_xlfn.XLOOKUP(B19,Skill_Matching!$A$2:$A$200,Skill_Matching!$J$2:$J$200,"")</f>
        <v>Deep Learning</v>
      </c>
    </row>
    <row r="20" spans="1:10">
      <c r="A20">
        <v>16</v>
      </c>
      <c r="B20" t="str">
        <v>Feature Engineering</v>
      </c>
      <c r="C20" s="40">
        <f>_xlfn.XLOOKUP(B20,Industry_Skillset!$B$2:$B$200,Industry_Skillset!$A$2:$A$200,"")</f>
        <v>16</v>
      </c>
      <c r="D20" t="str">
        <f>IF(B20="","",IF(_xlfn.XLOOKUP(B20,Skill_Matching!$A$2:$A$200,Skill_Matching!$E$2:$E$200,"")=0,"",_xlfn.XLOOKUP(B20,Skill_Matching!$A$2:$A$200,Skill_Matching!$E$2:$E$200,"")))</f>
        <v>Data Preprocessing/Wrangling</v>
      </c>
      <c r="E20" s="40">
        <f>IF(D20="","",_xlfn.XLOOKUP(D20,Curriculum_Skillset!$B$2:$B$200,Curriculum_Skillset!$A$2:$A$200,""))</f>
        <v>30</v>
      </c>
      <c r="F20" s="40">
        <f t="shared" si="0"/>
        <v>-14</v>
      </c>
      <c r="G20" s="40">
        <f t="shared" si="1"/>
        <v>14</v>
      </c>
      <c r="H20" s="40" t="str">
        <f t="shared" si="2"/>
        <v>Curriculum Lags</v>
      </c>
      <c r="I20" t="str">
        <f>_xlfn.XLOOKUP(B20,Skill_Matching!$A$2:$A$200,Skill_Matching!$H$2:$H$200,"")</f>
        <v>Partially Covered</v>
      </c>
      <c r="J20" t="str">
        <f>_xlfn.XLOOKUP(B20,Skill_Matching!$A$2:$A$200,Skill_Matching!$J$2:$J$200,"")</f>
        <v>Machine Learning</v>
      </c>
    </row>
    <row r="21" spans="1:10">
      <c r="A21">
        <v>17</v>
      </c>
      <c r="B21" t="str">
        <v>Prompt Engineering</v>
      </c>
      <c r="C21" s="40">
        <f>_xlfn.XLOOKUP(B21,Industry_Skillset!$B$2:$B$200,Industry_Skillset!$A$2:$A$200,"")</f>
        <v>17</v>
      </c>
      <c r="D21" t="str">
        <f>IF(B21="","",IF(_xlfn.XLOOKUP(B21,Skill_Matching!$A$2:$A$200,Skill_Matching!$E$2:$E$200,"")=0,"",_xlfn.XLOOKUP(B21,Skill_Matching!$A$2:$A$200,Skill_Matching!$E$2:$E$200,"")))</f>
        <v/>
      </c>
      <c r="E21" s="40" t="str">
        <f>IF(D21="","",_xlfn.XLOOKUP(D21,Curriculum_Skillset!$B$2:$B$200,Curriculum_Skillset!$A$2:$A$200,""))</f>
        <v/>
      </c>
      <c r="F21" s="40" t="str">
        <f t="shared" si="0"/>
        <v/>
      </c>
      <c r="G21" s="40" t="str">
        <f t="shared" si="1"/>
        <v/>
      </c>
      <c r="H21" s="40" t="str">
        <f t="shared" si="2"/>
        <v>No Curriculum Match</v>
      </c>
      <c r="I21" t="str">
        <f>_xlfn.XLOOKUP(B21,Skill_Matching!$A$2:$A$200,Skill_Matching!$H$2:$H$200,"")</f>
        <v>Industry Only</v>
      </c>
      <c r="J21" t="str">
        <f>_xlfn.XLOOKUP(B21,Skill_Matching!$A$2:$A$200,Skill_Matching!$J$2:$J$200,"")</f>
        <v>Generative AI &amp; NLP</v>
      </c>
    </row>
    <row r="22" spans="1:10">
      <c r="A22">
        <v>18</v>
      </c>
      <c r="B22" t="str">
        <v>Model Deployment &amp; Monitoring</v>
      </c>
      <c r="C22" s="40">
        <f>_xlfn.XLOOKUP(B22,Industry_Skillset!$B$2:$B$200,Industry_Skillset!$A$2:$A$200,"")</f>
        <v>18</v>
      </c>
      <c r="D22" t="str">
        <f>IF(B22="","",IF(_xlfn.XLOOKUP(B22,Skill_Matching!$A$2:$A$200,Skill_Matching!$E$2:$E$200,"")=0,"",_xlfn.XLOOKUP(B22,Skill_Matching!$A$2:$A$200,Skill_Matching!$E$2:$E$200,"")))</f>
        <v/>
      </c>
      <c r="E22" s="40" t="str">
        <f>IF(D22="","",_xlfn.XLOOKUP(D22,Curriculum_Skillset!$B$2:$B$200,Curriculum_Skillset!$A$2:$A$200,""))</f>
        <v/>
      </c>
      <c r="F22" s="40" t="str">
        <f t="shared" si="0"/>
        <v/>
      </c>
      <c r="G22" s="40" t="str">
        <f t="shared" si="1"/>
        <v/>
      </c>
      <c r="H22" s="40" t="str">
        <f t="shared" si="2"/>
        <v>No Curriculum Match</v>
      </c>
      <c r="I22" t="str">
        <f>_xlfn.XLOOKUP(B22,Skill_Matching!$A$2:$A$200,Skill_Matching!$H$2:$H$200,"")</f>
        <v>Industry Only</v>
      </c>
      <c r="J22" t="str">
        <f>_xlfn.XLOOKUP(B22,Skill_Matching!$A$2:$A$200,Skill_Matching!$J$2:$J$200,"")</f>
        <v>Cloud &amp; MLOps</v>
      </c>
    </row>
    <row r="23" spans="1:10">
      <c r="A23">
        <v>19</v>
      </c>
      <c r="B23" t="str">
        <v>MLOps</v>
      </c>
      <c r="C23" s="40">
        <f>_xlfn.XLOOKUP(B23,Industry_Skillset!$B$2:$B$200,Industry_Skillset!$A$2:$A$200,"")</f>
        <v>19</v>
      </c>
      <c r="D23" t="str">
        <f>IF(B23="","",IF(_xlfn.XLOOKUP(B23,Skill_Matching!$A$2:$A$200,Skill_Matching!$E$2:$E$200,"")=0,"",_xlfn.XLOOKUP(B23,Skill_Matching!$A$2:$A$200,Skill_Matching!$E$2:$E$200,"")))</f>
        <v/>
      </c>
      <c r="E23" s="40" t="str">
        <f>IF(D23="","",_xlfn.XLOOKUP(D23,Curriculum_Skillset!$B$2:$B$200,Curriculum_Skillset!$A$2:$A$200,""))</f>
        <v/>
      </c>
      <c r="F23" s="40" t="str">
        <f t="shared" si="0"/>
        <v/>
      </c>
      <c r="G23" s="40" t="str">
        <f t="shared" si="1"/>
        <v/>
      </c>
      <c r="H23" s="40" t="str">
        <f t="shared" si="2"/>
        <v>No Curriculum Match</v>
      </c>
      <c r="I23" t="str">
        <f>_xlfn.XLOOKUP(B23,Skill_Matching!$A$2:$A$200,Skill_Matching!$H$2:$H$200,"")</f>
        <v>Industry Only</v>
      </c>
      <c r="J23" t="str">
        <f>_xlfn.XLOOKUP(B23,Skill_Matching!$A$2:$A$200,Skill_Matching!$J$2:$J$200,"")</f>
        <v>Cloud &amp; MLOps</v>
      </c>
    </row>
    <row r="24" spans="1:10">
      <c r="A24">
        <v>20</v>
      </c>
      <c r="B24" t="str">
        <v>Data Preprocessing &amp; Cleaning</v>
      </c>
      <c r="C24" s="40">
        <f>_xlfn.XLOOKUP(B24,Industry_Skillset!$B$2:$B$200,Industry_Skillset!$A$2:$A$200,"")</f>
        <v>20</v>
      </c>
      <c r="D24" t="str">
        <f>IF(B24="","",IF(_xlfn.XLOOKUP(B24,Skill_Matching!$A$2:$A$200,Skill_Matching!$E$2:$E$200,"")=0,"",_xlfn.XLOOKUP(B24,Skill_Matching!$A$2:$A$200,Skill_Matching!$E$2:$E$200,"")))</f>
        <v>Data Preprocessing/Wrangling</v>
      </c>
      <c r="E24" s="40">
        <f>IF(D24="","",_xlfn.XLOOKUP(D24,Curriculum_Skillset!$B$2:$B$200,Curriculum_Skillset!$A$2:$A$200,""))</f>
        <v>30</v>
      </c>
      <c r="F24" s="40">
        <f t="shared" si="0"/>
        <v>-10</v>
      </c>
      <c r="G24" s="40">
        <f t="shared" si="1"/>
        <v>10</v>
      </c>
      <c r="H24" s="40" t="str">
        <f t="shared" si="2"/>
        <v>Curriculum Lags</v>
      </c>
      <c r="I24" t="str">
        <f>_xlfn.XLOOKUP(B24,Skill_Matching!$A$2:$A$200,Skill_Matching!$H$2:$H$200,"")</f>
        <v>Covered</v>
      </c>
      <c r="J24" t="str">
        <f>_xlfn.XLOOKUP(B24,Skill_Matching!$A$2:$A$200,Skill_Matching!$J$2:$J$200,"")</f>
        <v>Data Analysis &amp; Statistics</v>
      </c>
    </row>
    <row r="25" spans="1:10">
      <c r="A25">
        <v>21</v>
      </c>
      <c r="B25" t="str">
        <v>RAG Pipelines &amp; Semantic Search</v>
      </c>
      <c r="C25" s="40">
        <f>_xlfn.XLOOKUP(B25,Industry_Skillset!$B$2:$B$200,Industry_Skillset!$A$2:$A$200,"")</f>
        <v>21</v>
      </c>
      <c r="D25" t="str">
        <f>IF(B25="","",IF(_xlfn.XLOOKUP(B25,Skill_Matching!$A$2:$A$200,Skill_Matching!$E$2:$E$200,"")=0,"",_xlfn.XLOOKUP(B25,Skill_Matching!$A$2:$A$200,Skill_Matching!$E$2:$E$200,"")))</f>
        <v/>
      </c>
      <c r="E25" s="40" t="str">
        <f>IF(D25="","",_xlfn.XLOOKUP(D25,Curriculum_Skillset!$B$2:$B$200,Curriculum_Skillset!$A$2:$A$200,""))</f>
        <v/>
      </c>
      <c r="F25" s="40" t="str">
        <f t="shared" si="0"/>
        <v/>
      </c>
      <c r="G25" s="40" t="str">
        <f t="shared" si="1"/>
        <v/>
      </c>
      <c r="H25" s="40" t="str">
        <f t="shared" si="2"/>
        <v>No Curriculum Match</v>
      </c>
      <c r="I25" t="str">
        <f>_xlfn.XLOOKUP(B25,Skill_Matching!$A$2:$A$200,Skill_Matching!$H$2:$H$200,"")</f>
        <v>Industry Only</v>
      </c>
      <c r="J25" t="str">
        <f>_xlfn.XLOOKUP(B25,Skill_Matching!$A$2:$A$200,Skill_Matching!$J$2:$J$200,"")</f>
        <v>Generative AI &amp; NLP</v>
      </c>
    </row>
    <row r="26" spans="1:10">
      <c r="A26">
        <v>22</v>
      </c>
      <c r="B26" t="str">
        <v>Time Series Forecasting</v>
      </c>
      <c r="C26" s="40">
        <f>_xlfn.XLOOKUP(B26,Industry_Skillset!$B$2:$B$200,Industry_Skillset!$A$2:$A$200,"")</f>
        <v>22</v>
      </c>
      <c r="D26" t="str">
        <f>IF(B26="","",IF(_xlfn.XLOOKUP(B26,Skill_Matching!$A$2:$A$200,Skill_Matching!$E$2:$E$200,"")=0,"",_xlfn.XLOOKUP(B26,Skill_Matching!$A$2:$A$200,Skill_Matching!$E$2:$E$200,"")))</f>
        <v>Time Series Analysis</v>
      </c>
      <c r="E26" s="40">
        <f>IF(D26="","",_xlfn.XLOOKUP(D26,Curriculum_Skillset!$B$2:$B$200,Curriculum_Skillset!$A$2:$A$200,""))</f>
        <v>31</v>
      </c>
      <c r="F26" s="40">
        <f t="shared" si="0"/>
        <v>-9</v>
      </c>
      <c r="G26" s="40">
        <f t="shared" si="1"/>
        <v>9</v>
      </c>
      <c r="H26" s="40" t="str">
        <f t="shared" si="2"/>
        <v>Curriculum Lags</v>
      </c>
      <c r="I26" t="str">
        <f>_xlfn.XLOOKUP(B26,Skill_Matching!$A$2:$A$200,Skill_Matching!$H$2:$H$200,"")</f>
        <v>Partially Covered</v>
      </c>
      <c r="J26" t="str">
        <f>_xlfn.XLOOKUP(B26,Skill_Matching!$A$2:$A$200,Skill_Matching!$J$2:$J$200,"")</f>
        <v>Data Analysis &amp; Statistics</v>
      </c>
    </row>
    <row r="27" spans="1:10">
      <c r="A27">
        <v>23</v>
      </c>
      <c r="B27" t="str">
        <v>Data Visualization &amp; Dashboards</v>
      </c>
      <c r="C27" s="40">
        <f>_xlfn.XLOOKUP(B27,Industry_Skillset!$B$2:$B$200,Industry_Skillset!$A$2:$A$200,"")</f>
        <v>23</v>
      </c>
      <c r="D27" t="str">
        <f>IF(B27="","",IF(_xlfn.XLOOKUP(B27,Skill_Matching!$A$2:$A$200,Skill_Matching!$E$2:$E$200,"")=0,"",_xlfn.XLOOKUP(B27,Skill_Matching!$A$2:$A$200,Skill_Matching!$E$2:$E$200,"")))</f>
        <v>Business Intelligence</v>
      </c>
      <c r="E27" s="40">
        <f>IF(D27="","",_xlfn.XLOOKUP(D27,Curriculum_Skillset!$B$2:$B$200,Curriculum_Skillset!$A$2:$A$200,""))</f>
        <v>55</v>
      </c>
      <c r="F27" s="40">
        <f t="shared" si="0"/>
        <v>-32</v>
      </c>
      <c r="G27" s="40">
        <f t="shared" si="1"/>
        <v>32</v>
      </c>
      <c r="H27" s="40" t="str">
        <f t="shared" si="2"/>
        <v>Curriculum Lags</v>
      </c>
      <c r="I27" t="str">
        <f>_xlfn.XLOOKUP(B27,Skill_Matching!$A$2:$A$200,Skill_Matching!$H$2:$H$200,"")</f>
        <v>Partially Covered</v>
      </c>
      <c r="J27" t="str">
        <f>_xlfn.XLOOKUP(B27,Skill_Matching!$A$2:$A$200,Skill_Matching!$J$2:$J$200,"")</f>
        <v>Data Visualization &amp; BI</v>
      </c>
    </row>
    <row r="28" spans="1:10">
      <c r="A28">
        <v>24</v>
      </c>
      <c r="B28" t="str">
        <v>Experimentation &amp; A/B Testing</v>
      </c>
      <c r="C28" s="40">
        <f>_xlfn.XLOOKUP(B28,Industry_Skillset!$B$2:$B$200,Industry_Skillset!$A$2:$A$200,"")</f>
        <v>24</v>
      </c>
      <c r="D28" t="str">
        <f>IF(B28="","",IF(_xlfn.XLOOKUP(B28,Skill_Matching!$A$2:$A$200,Skill_Matching!$E$2:$E$200,"")=0,"",_xlfn.XLOOKUP(B28,Skill_Matching!$A$2:$A$200,Skill_Matching!$E$2:$E$200,"")))</f>
        <v/>
      </c>
      <c r="E28" s="40" t="str">
        <f>IF(D28="","",_xlfn.XLOOKUP(D28,Curriculum_Skillset!$B$2:$B$200,Curriculum_Skillset!$A$2:$A$200,""))</f>
        <v/>
      </c>
      <c r="F28" s="40" t="str">
        <f t="shared" si="0"/>
        <v/>
      </c>
      <c r="G28" s="40" t="str">
        <f t="shared" si="1"/>
        <v/>
      </c>
      <c r="H28" s="40" t="str">
        <f t="shared" si="2"/>
        <v>No Curriculum Match</v>
      </c>
      <c r="I28" t="str">
        <f>_xlfn.XLOOKUP(B28,Skill_Matching!$A$2:$A$200,Skill_Matching!$H$2:$H$200,"")</f>
        <v>Industry Only</v>
      </c>
      <c r="J28" t="str">
        <f>_xlfn.XLOOKUP(B28,Skill_Matching!$A$2:$A$200,Skill_Matching!$J$2:$J$200,"")</f>
        <v>Data Analysis &amp; Statistics</v>
      </c>
    </row>
    <row r="29" spans="1:10">
      <c r="A29">
        <v>25</v>
      </c>
      <c r="B29" t="str">
        <v>Git / Version Control</v>
      </c>
      <c r="C29" s="40">
        <f>_xlfn.XLOOKUP(B29,Industry_Skillset!$B$2:$B$200,Industry_Skillset!$A$2:$A$200,"")</f>
        <v>25</v>
      </c>
      <c r="D29" t="str">
        <f>IF(B29="","",IF(_xlfn.XLOOKUP(B29,Skill_Matching!$A$2:$A$200,Skill_Matching!$E$2:$E$200,"")=0,"",_xlfn.XLOOKUP(B29,Skill_Matching!$A$2:$A$200,Skill_Matching!$E$2:$E$200,"")))</f>
        <v/>
      </c>
      <c r="E29" s="40" t="str">
        <f>IF(D29="","",_xlfn.XLOOKUP(D29,Curriculum_Skillset!$B$2:$B$200,Curriculum_Skillset!$A$2:$A$200,""))</f>
        <v/>
      </c>
      <c r="F29" s="40" t="str">
        <f t="shared" si="0"/>
        <v/>
      </c>
      <c r="G29" s="40" t="str">
        <f t="shared" si="1"/>
        <v/>
      </c>
      <c r="H29" s="40" t="str">
        <f t="shared" si="2"/>
        <v>No Curriculum Match</v>
      </c>
      <c r="I29" t="str">
        <f>_xlfn.XLOOKUP(B29,Skill_Matching!$A$2:$A$200,Skill_Matching!$H$2:$H$200,"")</f>
        <v>Industry Only</v>
      </c>
      <c r="J29" t="str">
        <f>_xlfn.XLOOKUP(B29,Skill_Matching!$A$2:$A$200,Skill_Matching!$J$2:$J$200,"")</f>
        <v>Software Engineering</v>
      </c>
    </row>
    <row r="30" spans="1:10">
      <c r="A30">
        <v>26</v>
      </c>
      <c r="B30" t="str">
        <v>Agentic AI Frameworks</v>
      </c>
      <c r="C30" s="40">
        <f>_xlfn.XLOOKUP(B30,Industry_Skillset!$B$2:$B$200,Industry_Skillset!$A$2:$A$200,"")</f>
        <v>26</v>
      </c>
      <c r="D30" t="str">
        <f>IF(B30="","",IF(_xlfn.XLOOKUP(B30,Skill_Matching!$A$2:$A$200,Skill_Matching!$E$2:$E$200,"")=0,"",_xlfn.XLOOKUP(B30,Skill_Matching!$A$2:$A$200,Skill_Matching!$E$2:$E$200,"")))</f>
        <v/>
      </c>
      <c r="E30" s="40" t="str">
        <f>IF(D30="","",_xlfn.XLOOKUP(D30,Curriculum_Skillset!$B$2:$B$200,Curriculum_Skillset!$A$2:$A$200,""))</f>
        <v/>
      </c>
      <c r="F30" s="40" t="str">
        <f t="shared" si="0"/>
        <v/>
      </c>
      <c r="G30" s="40" t="str">
        <f t="shared" si="1"/>
        <v/>
      </c>
      <c r="H30" s="40" t="str">
        <f t="shared" si="2"/>
        <v>No Curriculum Match</v>
      </c>
      <c r="I30" t="str">
        <f>_xlfn.XLOOKUP(B30,Skill_Matching!$A$2:$A$200,Skill_Matching!$H$2:$H$200,"")</f>
        <v>Industry Only</v>
      </c>
      <c r="J30" t="str">
        <f>_xlfn.XLOOKUP(B30,Skill_Matching!$A$2:$A$200,Skill_Matching!$J$2:$J$200,"")</f>
        <v>Generative AI &amp; NLP</v>
      </c>
    </row>
    <row r="31" spans="1:10">
      <c r="A31">
        <v>27</v>
      </c>
      <c r="B31" t="str">
        <v>Data Pipelines &amp; Automation</v>
      </c>
      <c r="C31" s="40">
        <f>_xlfn.XLOOKUP(B31,Industry_Skillset!$B$2:$B$200,Industry_Skillset!$A$2:$A$200,"")</f>
        <v>27</v>
      </c>
      <c r="D31" t="str">
        <f>IF(B31="","",IF(_xlfn.XLOOKUP(B31,Skill_Matching!$A$2:$A$200,Skill_Matching!$E$2:$E$200,"")=0,"",_xlfn.XLOOKUP(B31,Skill_Matching!$A$2:$A$200,Skill_Matching!$E$2:$E$200,"")))</f>
        <v>Data Engineering</v>
      </c>
      <c r="E31" s="40">
        <f>IF(D31="","",_xlfn.XLOOKUP(D31,Curriculum_Skillset!$B$2:$B$200,Curriculum_Skillset!$A$2:$A$200,""))</f>
        <v>65</v>
      </c>
      <c r="F31" s="40">
        <f t="shared" si="0"/>
        <v>-38</v>
      </c>
      <c r="G31" s="40">
        <f t="shared" si="1"/>
        <v>38</v>
      </c>
      <c r="H31" s="40" t="str">
        <f t="shared" si="2"/>
        <v>Curriculum Lags</v>
      </c>
      <c r="I31" t="str">
        <f>_xlfn.XLOOKUP(B31,Skill_Matching!$A$2:$A$200,Skill_Matching!$H$2:$H$200,"")</f>
        <v>Partially Covered</v>
      </c>
      <c r="J31" t="str">
        <f>_xlfn.XLOOKUP(B31,Skill_Matching!$A$2:$A$200,Skill_Matching!$J$2:$J$200,"")</f>
        <v>Data Engineering &amp; Big Data</v>
      </c>
    </row>
    <row r="32" spans="1:10">
      <c r="A32">
        <v>28</v>
      </c>
      <c r="B32" t="str">
        <v>Hypothesis Testing</v>
      </c>
      <c r="C32" s="40">
        <f>_xlfn.XLOOKUP(B32,Industry_Skillset!$B$2:$B$200,Industry_Skillset!$A$2:$A$200,"")</f>
        <v>28</v>
      </c>
      <c r="D32" t="str">
        <f>IF(B32="","",IF(_xlfn.XLOOKUP(B32,Skill_Matching!$A$2:$A$200,Skill_Matching!$E$2:$E$200,"")=0,"",_xlfn.XLOOKUP(B32,Skill_Matching!$A$2:$A$200,Skill_Matching!$E$2:$E$200,"")))</f>
        <v>Statistics</v>
      </c>
      <c r="E32" s="40">
        <f>IF(D32="","",_xlfn.XLOOKUP(D32,Curriculum_Skillset!$B$2:$B$200,Curriculum_Skillset!$A$2:$A$200,""))</f>
        <v>1</v>
      </c>
      <c r="F32" s="40">
        <f t="shared" si="0"/>
        <v>27</v>
      </c>
      <c r="G32" s="40">
        <f t="shared" si="1"/>
        <v>27</v>
      </c>
      <c r="H32" s="40" t="str">
        <f t="shared" si="2"/>
        <v>Curriculum Leads</v>
      </c>
      <c r="I32" t="str">
        <f>_xlfn.XLOOKUP(B32,Skill_Matching!$A$2:$A$200,Skill_Matching!$H$2:$H$200,"")</f>
        <v>Partially Covered</v>
      </c>
      <c r="J32" t="str">
        <f>_xlfn.XLOOKUP(B32,Skill_Matching!$A$2:$A$200,Skill_Matching!$J$2:$J$200,"")</f>
        <v>Data Analysis &amp; Statistics</v>
      </c>
    </row>
    <row r="33" spans="1:10">
      <c r="A33">
        <v>29</v>
      </c>
      <c r="B33" t="str">
        <v>LLM Orchestration (LangChain / LangGraph / LlamaIndex)</v>
      </c>
      <c r="C33" s="40">
        <f>_xlfn.XLOOKUP(B33,Industry_Skillset!$B$2:$B$200,Industry_Skillset!$A$2:$A$200,"")</f>
        <v>29</v>
      </c>
      <c r="D33" t="str">
        <f>IF(B33="","",IF(_xlfn.XLOOKUP(B33,Skill_Matching!$A$2:$A$200,Skill_Matching!$E$2:$E$200,"")=0,"",_xlfn.XLOOKUP(B33,Skill_Matching!$A$2:$A$200,Skill_Matching!$E$2:$E$200,"")))</f>
        <v/>
      </c>
      <c r="E33" s="40" t="str">
        <f>IF(D33="","",_xlfn.XLOOKUP(D33,Curriculum_Skillset!$B$2:$B$200,Curriculum_Skillset!$A$2:$A$200,""))</f>
        <v/>
      </c>
      <c r="F33" s="40" t="str">
        <f t="shared" si="0"/>
        <v/>
      </c>
      <c r="G33" s="40" t="str">
        <f t="shared" si="1"/>
        <v/>
      </c>
      <c r="H33" s="40" t="str">
        <f t="shared" si="2"/>
        <v>No Curriculum Match</v>
      </c>
      <c r="I33" t="str">
        <f>_xlfn.XLOOKUP(B33,Skill_Matching!$A$2:$A$200,Skill_Matching!$H$2:$H$200,"")</f>
        <v>Industry Only</v>
      </c>
      <c r="J33" t="str">
        <f>_xlfn.XLOOKUP(B33,Skill_Matching!$A$2:$A$200,Skill_Matching!$J$2:$J$200,"")</f>
        <v>Generative AI &amp; NLP</v>
      </c>
    </row>
    <row r="34" spans="1:10">
      <c r="A34">
        <v>30</v>
      </c>
      <c r="B34" t="str">
        <v>R Programming</v>
      </c>
      <c r="C34" s="40">
        <f>_xlfn.XLOOKUP(B34,Industry_Skillset!$B$2:$B$200,Industry_Skillset!$A$2:$A$200,"")</f>
        <v>30</v>
      </c>
      <c r="D34" t="str">
        <f>IF(B34="","",IF(_xlfn.XLOOKUP(B34,Skill_Matching!$A$2:$A$200,Skill_Matching!$E$2:$E$200,"")=0,"",_xlfn.XLOOKUP(B34,Skill_Matching!$A$2:$A$200,Skill_Matching!$E$2:$E$200,"")))</f>
        <v>R Programming</v>
      </c>
      <c r="E34" s="40">
        <f>IF(D34="","",_xlfn.XLOOKUP(D34,Curriculum_Skillset!$B$2:$B$200,Curriculum_Skillset!$A$2:$A$200,""))</f>
        <v>26</v>
      </c>
      <c r="F34" s="40">
        <f t="shared" si="0"/>
        <v>4</v>
      </c>
      <c r="G34" s="40">
        <f t="shared" si="1"/>
        <v>4</v>
      </c>
      <c r="H34" s="40" t="str">
        <f t="shared" si="2"/>
        <v>Curriculum Leads</v>
      </c>
      <c r="I34" t="str">
        <f>_xlfn.XLOOKUP(B34,Skill_Matching!$A$2:$A$200,Skill_Matching!$H$2:$H$200,"")</f>
        <v>Covered</v>
      </c>
      <c r="J34" t="str">
        <f>_xlfn.XLOOKUP(B34,Skill_Matching!$A$2:$A$200,Skill_Matching!$J$2:$J$200,"")</f>
        <v>Programming Languages</v>
      </c>
    </row>
    <row r="35" spans="1:10">
      <c r="A35">
        <v>31</v>
      </c>
      <c r="B35" t="str">
        <v>Vector Databases &amp; Embeddings</v>
      </c>
      <c r="C35" s="40">
        <f>_xlfn.XLOOKUP(B35,Industry_Skillset!$B$2:$B$200,Industry_Skillset!$A$2:$A$200,"")</f>
        <v>31</v>
      </c>
      <c r="D35" t="str">
        <f>IF(B35="","",IF(_xlfn.XLOOKUP(B35,Skill_Matching!$A$2:$A$200,Skill_Matching!$E$2:$E$200,"")=0,"",_xlfn.XLOOKUP(B35,Skill_Matching!$A$2:$A$200,Skill_Matching!$E$2:$E$200,"")))</f>
        <v/>
      </c>
      <c r="E35" s="40" t="str">
        <f>IF(D35="","",_xlfn.XLOOKUP(D35,Curriculum_Skillset!$B$2:$B$200,Curriculum_Skillset!$A$2:$A$200,""))</f>
        <v/>
      </c>
      <c r="F35" s="40" t="str">
        <f t="shared" si="0"/>
        <v/>
      </c>
      <c r="G35" s="40" t="str">
        <f t="shared" si="1"/>
        <v/>
      </c>
      <c r="H35" s="40" t="str">
        <f t="shared" si="2"/>
        <v>No Curriculum Match</v>
      </c>
      <c r="I35" t="str">
        <f>_xlfn.XLOOKUP(B35,Skill_Matching!$A$2:$A$200,Skill_Matching!$H$2:$H$200,"")</f>
        <v>Industry Only</v>
      </c>
      <c r="J35" t="str">
        <f>_xlfn.XLOOKUP(B35,Skill_Matching!$A$2:$A$200,Skill_Matching!$J$2:$J$200,"")</f>
        <v>Generative AI &amp; NLP</v>
      </c>
    </row>
    <row r="36" spans="1:10">
      <c r="A36">
        <v>32</v>
      </c>
      <c r="B36" t="str">
        <v>Anomaly Detection</v>
      </c>
      <c r="C36" s="40">
        <f>_xlfn.XLOOKUP(B36,Industry_Skillset!$B$2:$B$200,Industry_Skillset!$A$2:$A$200,"")</f>
        <v>32</v>
      </c>
      <c r="D36" t="str">
        <f>IF(B36="","",IF(_xlfn.XLOOKUP(B36,Skill_Matching!$A$2:$A$200,Skill_Matching!$E$2:$E$200,"")=0,"",_xlfn.XLOOKUP(B36,Skill_Matching!$A$2:$A$200,Skill_Matching!$E$2:$E$200,"")))</f>
        <v>Machine Learning</v>
      </c>
      <c r="E36" s="40">
        <f>IF(D36="","",_xlfn.XLOOKUP(D36,Curriculum_Skillset!$B$2:$B$200,Curriculum_Skillset!$A$2:$A$200,""))</f>
        <v>3</v>
      </c>
      <c r="F36" s="40">
        <f t="shared" si="0"/>
        <v>29</v>
      </c>
      <c r="G36" s="40">
        <f t="shared" si="1"/>
        <v>29</v>
      </c>
      <c r="H36" s="40" t="str">
        <f t="shared" si="2"/>
        <v>Curriculum Leads</v>
      </c>
      <c r="I36" t="str">
        <f>_xlfn.XLOOKUP(B36,Skill_Matching!$A$2:$A$200,Skill_Matching!$H$2:$H$200,"")</f>
        <v>Partially Covered</v>
      </c>
      <c r="J36" t="str">
        <f>_xlfn.XLOOKUP(B36,Skill_Matching!$A$2:$A$200,Skill_Matching!$J$2:$J$200,"")</f>
        <v>Machine Learning</v>
      </c>
    </row>
    <row r="37" spans="1:10">
      <c r="A37">
        <v>33</v>
      </c>
      <c r="B37" t="str">
        <v>Communication &amp; Stakeholder Management</v>
      </c>
      <c r="C37" s="40">
        <f>_xlfn.XLOOKUP(B37,Industry_Skillset!$B$2:$B$200,Industry_Skillset!$A$2:$A$200,"")</f>
        <v>33</v>
      </c>
      <c r="D37" t="str">
        <f>IF(B37="","",IF(_xlfn.XLOOKUP(B37,Skill_Matching!$A$2:$A$200,Skill_Matching!$E$2:$E$200,"")=0,"",_xlfn.XLOOKUP(B37,Skill_Matching!$A$2:$A$200,Skill_Matching!$E$2:$E$200,"")))</f>
        <v/>
      </c>
      <c r="E37" s="40" t="str">
        <f>IF(D37="","",_xlfn.XLOOKUP(D37,Curriculum_Skillset!$B$2:$B$200,Curriculum_Skillset!$A$2:$A$200,""))</f>
        <v/>
      </c>
      <c r="F37" s="40" t="str">
        <f t="shared" si="0"/>
        <v/>
      </c>
      <c r="G37" s="40" t="str">
        <f t="shared" si="1"/>
        <v/>
      </c>
      <c r="H37" s="40" t="str">
        <f t="shared" si="2"/>
        <v>No Curriculum Match</v>
      </c>
      <c r="I37" t="str">
        <f>_xlfn.XLOOKUP(B37,Skill_Matching!$A$2:$A$200,Skill_Matching!$H$2:$H$200,"")</f>
        <v>Industry Only</v>
      </c>
      <c r="J37" t="str">
        <f>_xlfn.XLOOKUP(B37,Skill_Matching!$A$2:$A$200,Skill_Matching!$J$2:$J$200,"")</f>
        <v>Professional &amp; Soft Skills</v>
      </c>
    </row>
    <row r="38" spans="1:10">
      <c r="A38">
        <v>34</v>
      </c>
      <c r="B38" t="str">
        <v>Docker / Kubernetes</v>
      </c>
      <c r="C38" s="40">
        <f>_xlfn.XLOOKUP(B38,Industry_Skillset!$B$2:$B$200,Industry_Skillset!$A$2:$A$200,"")</f>
        <v>34</v>
      </c>
      <c r="D38" t="str">
        <f>IF(B38="","",IF(_xlfn.XLOOKUP(B38,Skill_Matching!$A$2:$A$200,Skill_Matching!$E$2:$E$200,"")=0,"",_xlfn.XLOOKUP(B38,Skill_Matching!$A$2:$A$200,Skill_Matching!$E$2:$E$200,"")))</f>
        <v/>
      </c>
      <c r="E38" s="40" t="str">
        <f>IF(D38="","",_xlfn.XLOOKUP(D38,Curriculum_Skillset!$B$2:$B$200,Curriculum_Skillset!$A$2:$A$200,""))</f>
        <v/>
      </c>
      <c r="F38" s="40" t="str">
        <f t="shared" si="0"/>
        <v/>
      </c>
      <c r="G38" s="40" t="str">
        <f t="shared" si="1"/>
        <v/>
      </c>
      <c r="H38" s="40" t="str">
        <f t="shared" si="2"/>
        <v>No Curriculum Match</v>
      </c>
      <c r="I38" t="str">
        <f>_xlfn.XLOOKUP(B38,Skill_Matching!$A$2:$A$200,Skill_Matching!$H$2:$H$200,"")</f>
        <v>Industry Only</v>
      </c>
      <c r="J38" t="str">
        <f>_xlfn.XLOOKUP(B38,Skill_Matching!$A$2:$A$200,Skill_Matching!$J$2:$J$200,"")</f>
        <v>Cloud &amp; MLOps</v>
      </c>
    </row>
    <row r="39" spans="1:10">
      <c r="A39">
        <v>35</v>
      </c>
      <c r="B39" t="str">
        <v>ETL / ELT Pipelines &amp; Data Pipelines</v>
      </c>
      <c r="C39" s="40">
        <f>_xlfn.XLOOKUP(B39,Industry_Skillset!$B$2:$B$200,Industry_Skillset!$A$2:$A$200,"")</f>
        <v>35</v>
      </c>
      <c r="D39" t="str">
        <f>IF(B39="","",IF(_xlfn.XLOOKUP(B39,Skill_Matching!$A$2:$A$200,Skill_Matching!$E$2:$E$200,"")=0,"",_xlfn.XLOOKUP(B39,Skill_Matching!$A$2:$A$200,Skill_Matching!$E$2:$E$200,"")))</f>
        <v>Data Engineering</v>
      </c>
      <c r="E39" s="40">
        <f>IF(D39="","",_xlfn.XLOOKUP(D39,Curriculum_Skillset!$B$2:$B$200,Curriculum_Skillset!$A$2:$A$200,""))</f>
        <v>65</v>
      </c>
      <c r="F39" s="40">
        <f t="shared" si="0"/>
        <v>-30</v>
      </c>
      <c r="G39" s="40">
        <f t="shared" si="1"/>
        <v>30</v>
      </c>
      <c r="H39" s="40" t="str">
        <f t="shared" si="2"/>
        <v>Curriculum Lags</v>
      </c>
      <c r="I39" t="str">
        <f>_xlfn.XLOOKUP(B39,Skill_Matching!$A$2:$A$200,Skill_Matching!$H$2:$H$200,"")</f>
        <v>Partially Covered</v>
      </c>
      <c r="J39" t="str">
        <f>_xlfn.XLOOKUP(B39,Skill_Matching!$A$2:$A$200,Skill_Matching!$J$2:$J$200,"")</f>
        <v>Data Engineering &amp; Big Data</v>
      </c>
    </row>
    <row r="40" spans="1:10">
      <c r="A40">
        <v>36</v>
      </c>
      <c r="B40" t="str">
        <v>Exploratory Data Analysis (EDA)</v>
      </c>
      <c r="C40" s="40">
        <f>_xlfn.XLOOKUP(B40,Industry_Skillset!$B$2:$B$200,Industry_Skillset!$A$2:$A$200,"")</f>
        <v>36</v>
      </c>
      <c r="D40" t="str">
        <f>IF(B40="","",IF(_xlfn.XLOOKUP(B40,Skill_Matching!$A$2:$A$200,Skill_Matching!$E$2:$E$200,"")=0,"",_xlfn.XLOOKUP(B40,Skill_Matching!$A$2:$A$200,Skill_Matching!$E$2:$E$200,"")))</f>
        <v>Exploratory Data Analysis</v>
      </c>
      <c r="E40" s="40">
        <f>IF(D40="","",_xlfn.XLOOKUP(D40,Curriculum_Skillset!$B$2:$B$200,Curriculum_Skillset!$A$2:$A$200,""))</f>
        <v>53</v>
      </c>
      <c r="F40" s="40">
        <f t="shared" si="0"/>
        <v>-17</v>
      </c>
      <c r="G40" s="40">
        <f t="shared" si="1"/>
        <v>17</v>
      </c>
      <c r="H40" s="40" t="str">
        <f t="shared" si="2"/>
        <v>Curriculum Lags</v>
      </c>
      <c r="I40" t="str">
        <f>_xlfn.XLOOKUP(B40,Skill_Matching!$A$2:$A$200,Skill_Matching!$H$2:$H$200,"")</f>
        <v>Covered</v>
      </c>
      <c r="J40" t="str">
        <f>_xlfn.XLOOKUP(B40,Skill_Matching!$A$2:$A$200,Skill_Matching!$J$2:$J$200,"")</f>
        <v>Data Analysis &amp; Statistics</v>
      </c>
    </row>
    <row r="41" spans="1:10">
      <c r="A41">
        <v>37</v>
      </c>
      <c r="B41" t="str">
        <v>Big Data (Hadoop / Spark)</v>
      </c>
      <c r="C41" s="40">
        <f>_xlfn.XLOOKUP(B41,Industry_Skillset!$B$2:$B$200,Industry_Skillset!$A$2:$A$200,"")</f>
        <v>37</v>
      </c>
      <c r="D41" t="str">
        <f>IF(B41="","",IF(_xlfn.XLOOKUP(B41,Skill_Matching!$A$2:$A$200,Skill_Matching!$E$2:$E$200,"")=0,"",_xlfn.XLOOKUP(B41,Skill_Matching!$A$2:$A$200,Skill_Matching!$E$2:$E$200,"")))</f>
        <v>Big Data</v>
      </c>
      <c r="E41" s="40">
        <f>IF(D41="","",_xlfn.XLOOKUP(D41,Curriculum_Skillset!$B$2:$B$200,Curriculum_Skillset!$A$2:$A$200,""))</f>
        <v>13</v>
      </c>
      <c r="F41" s="40">
        <f t="shared" si="0"/>
        <v>24</v>
      </c>
      <c r="G41" s="40">
        <f t="shared" si="1"/>
        <v>24</v>
      </c>
      <c r="H41" s="40" t="str">
        <f t="shared" si="2"/>
        <v>Curriculum Leads</v>
      </c>
      <c r="I41" t="str">
        <f>_xlfn.XLOOKUP(B41,Skill_Matching!$A$2:$A$200,Skill_Matching!$H$2:$H$200,"")</f>
        <v>Covered</v>
      </c>
      <c r="J41" t="str">
        <f>_xlfn.XLOOKUP(B41,Skill_Matching!$A$2:$A$200,Skill_Matching!$J$2:$J$200,"")</f>
        <v>Data Engineering &amp; Big Data</v>
      </c>
    </row>
    <row r="42" spans="1:10">
      <c r="A42">
        <v>38</v>
      </c>
      <c r="B42" t="str">
        <v>A/B Testing</v>
      </c>
      <c r="C42" s="40">
        <f>_xlfn.XLOOKUP(B42,Industry_Skillset!$B$2:$B$200,Industry_Skillset!$A$2:$A$200,"")</f>
        <v>38</v>
      </c>
      <c r="D42" t="str">
        <f>IF(B42="","",IF(_xlfn.XLOOKUP(B42,Skill_Matching!$A$2:$A$200,Skill_Matching!$E$2:$E$200,"")=0,"",_xlfn.XLOOKUP(B42,Skill_Matching!$A$2:$A$200,Skill_Matching!$E$2:$E$200,"")))</f>
        <v/>
      </c>
      <c r="E42" s="40" t="str">
        <f>IF(D42="","",_xlfn.XLOOKUP(D42,Curriculum_Skillset!$B$2:$B$200,Curriculum_Skillset!$A$2:$A$200,""))</f>
        <v/>
      </c>
      <c r="F42" s="40" t="str">
        <f t="shared" si="0"/>
        <v/>
      </c>
      <c r="G42" s="40" t="str">
        <f t="shared" si="1"/>
        <v/>
      </c>
      <c r="H42" s="40" t="str">
        <f t="shared" si="2"/>
        <v>No Curriculum Match</v>
      </c>
      <c r="I42" t="str">
        <f>_xlfn.XLOOKUP(B42,Skill_Matching!$A$2:$A$200,Skill_Matching!$H$2:$H$200,"")</f>
        <v>Industry Only</v>
      </c>
      <c r="J42" t="str">
        <f>_xlfn.XLOOKUP(B42,Skill_Matching!$A$2:$A$200,Skill_Matching!$J$2:$J$200,"")</f>
        <v>Data Analysis &amp; Statistics</v>
      </c>
    </row>
    <row r="43" spans="1:10">
      <c r="A43">
        <v>39</v>
      </c>
      <c r="B43" t="str">
        <v>PySpark</v>
      </c>
      <c r="C43" s="40">
        <f>_xlfn.XLOOKUP(B43,Industry_Skillset!$B$2:$B$200,Industry_Skillset!$A$2:$A$200,"")</f>
        <v>39</v>
      </c>
      <c r="D43" t="str">
        <f>IF(B43="","",IF(_xlfn.XLOOKUP(B43,Skill_Matching!$A$2:$A$200,Skill_Matching!$E$2:$E$200,"")=0,"",_xlfn.XLOOKUP(B43,Skill_Matching!$A$2:$A$200,Skill_Matching!$E$2:$E$200,"")))</f>
        <v/>
      </c>
      <c r="E43" s="40" t="str">
        <f>IF(D43="","",_xlfn.XLOOKUP(D43,Curriculum_Skillset!$B$2:$B$200,Curriculum_Skillset!$A$2:$A$200,""))</f>
        <v/>
      </c>
      <c r="F43" s="40" t="str">
        <f t="shared" si="0"/>
        <v/>
      </c>
      <c r="G43" s="40" t="str">
        <f t="shared" si="1"/>
        <v/>
      </c>
      <c r="H43" s="40" t="str">
        <f t="shared" si="2"/>
        <v>No Curriculum Match</v>
      </c>
      <c r="I43" t="str">
        <f>_xlfn.XLOOKUP(B43,Skill_Matching!$A$2:$A$200,Skill_Matching!$H$2:$H$200,"")</f>
        <v>Industry Only</v>
      </c>
      <c r="J43" t="str">
        <f>_xlfn.XLOOKUP(B43,Skill_Matching!$A$2:$A$200,Skill_Matching!$J$2:$J$200,"")</f>
        <v>Data Engineering &amp; Big Data</v>
      </c>
    </row>
    <row r="44" spans="1:10">
      <c r="A44">
        <v>40</v>
      </c>
      <c r="B44" t="str">
        <v>REST APIs &amp; Microservices</v>
      </c>
      <c r="C44" s="40">
        <f>_xlfn.XLOOKUP(B44,Industry_Skillset!$B$2:$B$200,Industry_Skillset!$A$2:$A$200,"")</f>
        <v>40</v>
      </c>
      <c r="D44" t="str">
        <f>IF(B44="","",IF(_xlfn.XLOOKUP(B44,Skill_Matching!$A$2:$A$200,Skill_Matching!$E$2:$E$200,"")=0,"",_xlfn.XLOOKUP(B44,Skill_Matching!$A$2:$A$200,Skill_Matching!$E$2:$E$200,"")))</f>
        <v/>
      </c>
      <c r="E44" s="40" t="str">
        <f>IF(D44="","",_xlfn.XLOOKUP(D44,Curriculum_Skillset!$B$2:$B$200,Curriculum_Skillset!$A$2:$A$200,""))</f>
        <v/>
      </c>
      <c r="F44" s="40" t="str">
        <f t="shared" si="0"/>
        <v/>
      </c>
      <c r="G44" s="40" t="str">
        <f t="shared" si="1"/>
        <v/>
      </c>
      <c r="H44" s="40" t="str">
        <f t="shared" si="2"/>
        <v>No Curriculum Match</v>
      </c>
      <c r="I44" t="str">
        <f>_xlfn.XLOOKUP(B44,Skill_Matching!$A$2:$A$200,Skill_Matching!$H$2:$H$200,"")</f>
        <v>Industry Only</v>
      </c>
      <c r="J44" t="str">
        <f>_xlfn.XLOOKUP(B44,Skill_Matching!$A$2:$A$200,Skill_Matching!$J$2:$J$200,"")</f>
        <v>Software Engineering</v>
      </c>
    </row>
    <row r="45" spans="1:10">
      <c r="A45">
        <v>41</v>
      </c>
      <c r="B45" t="str">
        <v>Artificial Intelligence</v>
      </c>
      <c r="C45" s="40">
        <f>_xlfn.XLOOKUP(B45,Industry_Skillset!$B$2:$B$200,Industry_Skillset!$A$2:$A$200,"")</f>
        <v>41</v>
      </c>
      <c r="D45" t="str">
        <f>IF(B45="","",IF(_xlfn.XLOOKUP(B45,Skill_Matching!$A$2:$A$200,Skill_Matching!$E$2:$E$200,"")=0,"",_xlfn.XLOOKUP(B45,Skill_Matching!$A$2:$A$200,Skill_Matching!$E$2:$E$200,"")))</f>
        <v>Artificial Intelligence</v>
      </c>
      <c r="E45" s="40">
        <f>IF(D45="","",_xlfn.XLOOKUP(D45,Curriculum_Skillset!$B$2:$B$200,Curriculum_Skillset!$A$2:$A$200,""))</f>
        <v>7</v>
      </c>
      <c r="F45" s="40">
        <f t="shared" si="0"/>
        <v>34</v>
      </c>
      <c r="G45" s="40">
        <f t="shared" si="1"/>
        <v>34</v>
      </c>
      <c r="H45" s="40" t="str">
        <f t="shared" si="2"/>
        <v>Curriculum Leads</v>
      </c>
      <c r="I45" t="str">
        <f>_xlfn.XLOOKUP(B45,Skill_Matching!$A$2:$A$200,Skill_Matching!$H$2:$H$200,"")</f>
        <v>Covered</v>
      </c>
      <c r="J45" t="str">
        <f>_xlfn.XLOOKUP(B45,Skill_Matching!$A$2:$A$200,Skill_Matching!$J$2:$J$200,"")</f>
        <v>Artificial Intelligence</v>
      </c>
    </row>
    <row r="46" spans="1:10">
      <c r="A46">
        <v>42</v>
      </c>
      <c r="B46" t="str">
        <v>CI/CD &amp; DevOps</v>
      </c>
      <c r="C46" s="40">
        <f>_xlfn.XLOOKUP(B46,Industry_Skillset!$B$2:$B$200,Industry_Skillset!$A$2:$A$200,"")</f>
        <v>42</v>
      </c>
      <c r="D46" t="str">
        <f>IF(B46="","",IF(_xlfn.XLOOKUP(B46,Skill_Matching!$A$2:$A$200,Skill_Matching!$E$2:$E$200,"")=0,"",_xlfn.XLOOKUP(B46,Skill_Matching!$A$2:$A$200,Skill_Matching!$E$2:$E$200,"")))</f>
        <v/>
      </c>
      <c r="E46" s="40" t="str">
        <f>IF(D46="","",_xlfn.XLOOKUP(D46,Curriculum_Skillset!$B$2:$B$200,Curriculum_Skillset!$A$2:$A$200,""))</f>
        <v/>
      </c>
      <c r="F46" s="40" t="str">
        <f t="shared" si="0"/>
        <v/>
      </c>
      <c r="G46" s="40" t="str">
        <f t="shared" si="1"/>
        <v/>
      </c>
      <c r="H46" s="40" t="str">
        <f t="shared" si="2"/>
        <v>No Curriculum Match</v>
      </c>
      <c r="I46" t="str">
        <f>_xlfn.XLOOKUP(B46,Skill_Matching!$A$2:$A$200,Skill_Matching!$H$2:$H$200,"")</f>
        <v>Industry Only</v>
      </c>
      <c r="J46" t="str">
        <f>_xlfn.XLOOKUP(B46,Skill_Matching!$A$2:$A$200,Skill_Matching!$J$2:$J$200,"")</f>
        <v>Cloud &amp; MLOps</v>
      </c>
    </row>
    <row r="47" spans="1:10">
      <c r="A47">
        <v>43</v>
      </c>
      <c r="B47" t="str">
        <v>Customer Segmentation &amp; Propensity Modeling</v>
      </c>
      <c r="C47" s="40">
        <f>_xlfn.XLOOKUP(B47,Industry_Skillset!$B$2:$B$200,Industry_Skillset!$A$2:$A$200,"")</f>
        <v>43</v>
      </c>
      <c r="D47" t="str">
        <f>IF(B47="","",IF(_xlfn.XLOOKUP(B47,Skill_Matching!$A$2:$A$200,Skill_Matching!$E$2:$E$200,"")=0,"",_xlfn.XLOOKUP(B47,Skill_Matching!$A$2:$A$200,Skill_Matching!$E$2:$E$200,"")))</f>
        <v/>
      </c>
      <c r="E47" s="40" t="str">
        <f>IF(D47="","",_xlfn.XLOOKUP(D47,Curriculum_Skillset!$B$2:$B$200,Curriculum_Skillset!$A$2:$A$200,""))</f>
        <v/>
      </c>
      <c r="F47" s="40" t="str">
        <f t="shared" si="0"/>
        <v/>
      </c>
      <c r="G47" s="40" t="str">
        <f t="shared" si="1"/>
        <v/>
      </c>
      <c r="H47" s="40" t="str">
        <f t="shared" si="2"/>
        <v>No Curriculum Match</v>
      </c>
      <c r="I47" t="str">
        <f>_xlfn.XLOOKUP(B47,Skill_Matching!$A$2:$A$200,Skill_Matching!$H$2:$H$200,"")</f>
        <v>Industry Only</v>
      </c>
      <c r="J47" t="str">
        <f>_xlfn.XLOOKUP(B47,Skill_Matching!$A$2:$A$200,Skill_Matching!$J$2:$J$200,"")</f>
        <v>Domain Applications</v>
      </c>
    </row>
    <row r="48" spans="1:10">
      <c r="A48">
        <v>44</v>
      </c>
      <c r="B48" t="str">
        <v>Data Preprocessing &amp; Augmentation</v>
      </c>
      <c r="C48" s="40">
        <f>_xlfn.XLOOKUP(B48,Industry_Skillset!$B$2:$B$200,Industry_Skillset!$A$2:$A$200,"")</f>
        <v>44</v>
      </c>
      <c r="D48" t="str">
        <f>IF(B48="","",IF(_xlfn.XLOOKUP(B48,Skill_Matching!$A$2:$A$200,Skill_Matching!$E$2:$E$200,"")=0,"",_xlfn.XLOOKUP(B48,Skill_Matching!$A$2:$A$200,Skill_Matching!$E$2:$E$200,"")))</f>
        <v>Data Preprocessing/Wrangling</v>
      </c>
      <c r="E48" s="40">
        <f>IF(D48="","",_xlfn.XLOOKUP(D48,Curriculum_Skillset!$B$2:$B$200,Curriculum_Skillset!$A$2:$A$200,""))</f>
        <v>30</v>
      </c>
      <c r="F48" s="40">
        <f t="shared" si="0"/>
        <v>14</v>
      </c>
      <c r="G48" s="40">
        <f t="shared" si="1"/>
        <v>14</v>
      </c>
      <c r="H48" s="40" t="str">
        <f t="shared" si="2"/>
        <v>Curriculum Leads</v>
      </c>
      <c r="I48" t="str">
        <f>_xlfn.XLOOKUP(B48,Skill_Matching!$A$2:$A$200,Skill_Matching!$H$2:$H$200,"")</f>
        <v>Partially Covered</v>
      </c>
      <c r="J48" t="str">
        <f>_xlfn.XLOOKUP(B48,Skill_Matching!$A$2:$A$200,Skill_Matching!$J$2:$J$200,"")</f>
        <v>Data Analysis &amp; Statistics</v>
      </c>
    </row>
    <row r="49" spans="1:10">
      <c r="A49">
        <v>45</v>
      </c>
      <c r="B49" t="str">
        <v>Hugging Face Transformers</v>
      </c>
      <c r="C49" s="40">
        <f>_xlfn.XLOOKUP(B49,Industry_Skillset!$B$2:$B$200,Industry_Skillset!$A$2:$A$200,"")</f>
        <v>45</v>
      </c>
      <c r="D49" t="str">
        <f>IF(B49="","",IF(_xlfn.XLOOKUP(B49,Skill_Matching!$A$2:$A$200,Skill_Matching!$E$2:$E$200,"")=0,"",_xlfn.XLOOKUP(B49,Skill_Matching!$A$2:$A$200,Skill_Matching!$E$2:$E$200,"")))</f>
        <v/>
      </c>
      <c r="E49" s="40" t="str">
        <f>IF(D49="","",_xlfn.XLOOKUP(D49,Curriculum_Skillset!$B$2:$B$200,Curriculum_Skillset!$A$2:$A$200,""))</f>
        <v/>
      </c>
      <c r="F49" s="40" t="str">
        <f t="shared" si="0"/>
        <v/>
      </c>
      <c r="G49" s="40" t="str">
        <f t="shared" si="1"/>
        <v/>
      </c>
      <c r="H49" s="40" t="str">
        <f t="shared" si="2"/>
        <v>No Curriculum Match</v>
      </c>
      <c r="I49" t="str">
        <f>_xlfn.XLOOKUP(B49,Skill_Matching!$A$2:$A$200,Skill_Matching!$H$2:$H$200,"")</f>
        <v>Industry Only</v>
      </c>
      <c r="J49" t="str">
        <f>_xlfn.XLOOKUP(B49,Skill_Matching!$A$2:$A$200,Skill_Matching!$J$2:$J$200,"")</f>
        <v>Generative AI &amp; NLP</v>
      </c>
    </row>
    <row r="50" spans="1:10">
      <c r="A50">
        <v>46</v>
      </c>
      <c r="B50" t="str">
        <v>Model Deployment</v>
      </c>
      <c r="C50" s="40">
        <f>_xlfn.XLOOKUP(B50,Industry_Skillset!$B$2:$B$200,Industry_Skillset!$A$2:$A$200,"")</f>
        <v>46</v>
      </c>
      <c r="D50" t="str">
        <f>IF(B50="","",IF(_xlfn.XLOOKUP(B50,Skill_Matching!$A$2:$A$200,Skill_Matching!$E$2:$E$200,"")=0,"",_xlfn.XLOOKUP(B50,Skill_Matching!$A$2:$A$200,Skill_Matching!$E$2:$E$200,"")))</f>
        <v/>
      </c>
      <c r="E50" s="40" t="str">
        <f>IF(D50="","",_xlfn.XLOOKUP(D50,Curriculum_Skillset!$B$2:$B$200,Curriculum_Skillset!$A$2:$A$200,""))</f>
        <v/>
      </c>
      <c r="F50" s="40" t="str">
        <f t="shared" si="0"/>
        <v/>
      </c>
      <c r="G50" s="40" t="str">
        <f t="shared" si="1"/>
        <v/>
      </c>
      <c r="H50" s="40" t="str">
        <f t="shared" si="2"/>
        <v>No Curriculum Match</v>
      </c>
      <c r="I50" t="str">
        <f>_xlfn.XLOOKUP(B50,Skill_Matching!$A$2:$A$200,Skill_Matching!$H$2:$H$200,"")</f>
        <v>Industry Only</v>
      </c>
      <c r="J50" t="str">
        <f>_xlfn.XLOOKUP(B50,Skill_Matching!$A$2:$A$200,Skill_Matching!$J$2:$J$200,"")</f>
        <v>Cloud &amp; MLOps</v>
      </c>
    </row>
    <row r="51" spans="1:10">
      <c r="A51">
        <v>47</v>
      </c>
      <c r="B51" t="str">
        <v>Model Evaluation</v>
      </c>
      <c r="C51" s="40">
        <f>_xlfn.XLOOKUP(B51,Industry_Skillset!$B$2:$B$200,Industry_Skillset!$A$2:$A$200,"")</f>
        <v>47</v>
      </c>
      <c r="D51" t="str">
        <f>IF(B51="","",IF(_xlfn.XLOOKUP(B51,Skill_Matching!$A$2:$A$200,Skill_Matching!$E$2:$E$200,"")=0,"",_xlfn.XLOOKUP(B51,Skill_Matching!$A$2:$A$200,Skill_Matching!$E$2:$E$200,"")))</f>
        <v>Machine Learning</v>
      </c>
      <c r="E51" s="40">
        <f>IF(D51="","",_xlfn.XLOOKUP(D51,Curriculum_Skillset!$B$2:$B$200,Curriculum_Skillset!$A$2:$A$200,""))</f>
        <v>3</v>
      </c>
      <c r="F51" s="40">
        <f t="shared" si="0"/>
        <v>44</v>
      </c>
      <c r="G51" s="40">
        <f t="shared" si="1"/>
        <v>44</v>
      </c>
      <c r="H51" s="40" t="str">
        <f t="shared" si="2"/>
        <v>Curriculum Leads</v>
      </c>
      <c r="I51" t="str">
        <f>_xlfn.XLOOKUP(B51,Skill_Matching!$A$2:$A$200,Skill_Matching!$H$2:$H$200,"")</f>
        <v>Partially Covered</v>
      </c>
      <c r="J51" t="str">
        <f>_xlfn.XLOOKUP(B51,Skill_Matching!$A$2:$A$200,Skill_Matching!$J$2:$J$200,"")</f>
        <v>Machine Learning</v>
      </c>
    </row>
    <row r="52" spans="1:10">
      <c r="A52">
        <v>48</v>
      </c>
      <c r="B52" t="str">
        <v>Multi-Agent Systems</v>
      </c>
      <c r="C52" s="40">
        <f>_xlfn.XLOOKUP(B52,Industry_Skillset!$B$2:$B$200,Industry_Skillset!$A$2:$A$200,"")</f>
        <v>48</v>
      </c>
      <c r="D52" t="str">
        <f>IF(B52="","",IF(_xlfn.XLOOKUP(B52,Skill_Matching!$A$2:$A$200,Skill_Matching!$E$2:$E$200,"")=0,"",_xlfn.XLOOKUP(B52,Skill_Matching!$A$2:$A$200,Skill_Matching!$E$2:$E$200,"")))</f>
        <v/>
      </c>
      <c r="E52" s="40" t="str">
        <f>IF(D52="","",_xlfn.XLOOKUP(D52,Curriculum_Skillset!$B$2:$B$200,Curriculum_Skillset!$A$2:$A$200,""))</f>
        <v/>
      </c>
      <c r="F52" s="40" t="str">
        <f t="shared" si="0"/>
        <v/>
      </c>
      <c r="G52" s="40" t="str">
        <f t="shared" si="1"/>
        <v/>
      </c>
      <c r="H52" s="40" t="str">
        <f t="shared" si="2"/>
        <v>No Curriculum Match</v>
      </c>
    </row>
    <row r="53" spans="1:10">
      <c r="A53">
        <v>49</v>
      </c>
      <c r="B53" t="str">
        <v>Predictive Modeling</v>
      </c>
      <c r="C53" s="40">
        <f>_xlfn.XLOOKUP(B53,Industry_Skillset!$B$2:$B$200,Industry_Skillset!$A$2:$A$200,"")</f>
        <v>49</v>
      </c>
      <c r="D53" t="str">
        <f>IF(B53="","",IF(_xlfn.XLOOKUP(B53,Skill_Matching!$A$2:$A$200,Skill_Matching!$E$2:$E$200,"")=0,"",_xlfn.XLOOKUP(B53,Skill_Matching!$A$2:$A$200,Skill_Matching!$E$2:$E$200,"")))</f>
        <v>Regression Analysis</v>
      </c>
      <c r="E53" s="40">
        <f>IF(D53="","",_xlfn.XLOOKUP(D53,Curriculum_Skillset!$B$2:$B$200,Curriculum_Skillset!$A$2:$A$200,""))</f>
        <v>17</v>
      </c>
      <c r="F53" s="40">
        <f t="shared" si="0"/>
        <v>32</v>
      </c>
      <c r="G53" s="40">
        <f t="shared" si="1"/>
        <v>32</v>
      </c>
      <c r="H53" s="40" t="str">
        <f t="shared" si="2"/>
        <v>Curriculum Leads</v>
      </c>
    </row>
    <row r="54" spans="1:10">
      <c r="A54">
        <v>50</v>
      </c>
      <c r="B54" t="str">
        <v>Statistical Modeling</v>
      </c>
      <c r="C54" s="40">
        <f>_xlfn.XLOOKUP(B54,Industry_Skillset!$B$2:$B$200,Industry_Skillset!$A$2:$A$200,"")</f>
        <v>50</v>
      </c>
      <c r="D54" t="str">
        <f>IF(B54="","",IF(_xlfn.XLOOKUP(B54,Skill_Matching!$A$2:$A$200,Skill_Matching!$E$2:$E$200,"")=0,"",_xlfn.XLOOKUP(B54,Skill_Matching!$A$2:$A$200,Skill_Matching!$E$2:$E$200,"")))</f>
        <v>Statistics</v>
      </c>
      <c r="E54" s="40">
        <f>IF(D54="","",_xlfn.XLOOKUP(D54,Curriculum_Skillset!$B$2:$B$200,Curriculum_Skillset!$A$2:$A$200,""))</f>
        <v>1</v>
      </c>
      <c r="F54" s="40">
        <f t="shared" si="0"/>
        <v>49</v>
      </c>
      <c r="G54" s="40">
        <f t="shared" si="1"/>
        <v>49</v>
      </c>
      <c r="H54" s="40" t="str">
        <f t="shared" si="2"/>
        <v>Curriculum Leads</v>
      </c>
    </row>
    <row r="55" spans="1:10">
      <c r="A55">
        <v>51</v>
      </c>
      <c r="B55" t="str">
        <v>Supervised Learning</v>
      </c>
      <c r="C55" s="40">
        <f>_xlfn.XLOOKUP(B55,Industry_Skillset!$B$2:$B$200,Industry_Skillset!$A$2:$A$200,"")</f>
        <v>51</v>
      </c>
      <c r="D55" t="str">
        <f>IF(B55="","",IF(_xlfn.XLOOKUP(B55,Skill_Matching!$A$2:$A$200,Skill_Matching!$E$2:$E$200,"")=0,"",_xlfn.XLOOKUP(B55,Skill_Matching!$A$2:$A$200,Skill_Matching!$E$2:$E$200,"")))</f>
        <v>Classification</v>
      </c>
      <c r="E55" s="40">
        <f>IF(D55="","",_xlfn.XLOOKUP(D55,Curriculum_Skillset!$B$2:$B$200,Curriculum_Skillset!$A$2:$A$200,""))</f>
        <v>21</v>
      </c>
      <c r="F55" s="40">
        <f t="shared" si="0"/>
        <v>30</v>
      </c>
      <c r="G55" s="40">
        <f t="shared" si="1"/>
        <v>30</v>
      </c>
      <c r="H55" s="40" t="str">
        <f t="shared" si="2"/>
        <v>Curriculum Leads</v>
      </c>
    </row>
    <row r="56" spans="1:10">
      <c r="A56">
        <v>52</v>
      </c>
      <c r="B56" t="str">
        <v>Tableau</v>
      </c>
      <c r="C56" s="40">
        <f>_xlfn.XLOOKUP(B56,Industry_Skillset!$B$2:$B$200,Industry_Skillset!$A$2:$A$200,"")</f>
        <v>52</v>
      </c>
      <c r="D56" t="str">
        <f>IF(B56="","",IF(_xlfn.XLOOKUP(B56,Skill_Matching!$A$2:$A$200,Skill_Matching!$E$2:$E$200,"")=0,"",_xlfn.XLOOKUP(B56,Skill_Matching!$A$2:$A$200,Skill_Matching!$E$2:$E$200,"")))</f>
        <v>Tableau</v>
      </c>
      <c r="E56" s="40">
        <f>IF(D56="","",_xlfn.XLOOKUP(D56,Curriculum_Skillset!$B$2:$B$200,Curriculum_Skillset!$A$2:$A$200,""))</f>
        <v>70</v>
      </c>
      <c r="F56" s="40">
        <f t="shared" si="0"/>
        <v>-18</v>
      </c>
      <c r="G56" s="40">
        <f t="shared" si="1"/>
        <v>18</v>
      </c>
      <c r="H56" s="40" t="str">
        <f t="shared" si="2"/>
        <v>Curriculum Lags</v>
      </c>
    </row>
    <row r="57" spans="1:10">
      <c r="A57">
        <v>53</v>
      </c>
      <c r="B57" t="str">
        <v>Agent Evaluation Frameworks (RAGAS / LLM-as-Judge)</v>
      </c>
      <c r="C57" s="40">
        <f>_xlfn.XLOOKUP(B57,Industry_Skillset!$B$2:$B$200,Industry_Skillset!$A$2:$A$200,"")</f>
        <v>53</v>
      </c>
      <c r="D57" t="str">
        <f>IF(B57="","",IF(_xlfn.XLOOKUP(B57,Skill_Matching!$A$2:$A$200,Skill_Matching!$E$2:$E$200,"")=0,"",_xlfn.XLOOKUP(B57,Skill_Matching!$A$2:$A$200,Skill_Matching!$E$2:$E$200,"")))</f>
        <v/>
      </c>
      <c r="E57" s="40" t="str">
        <f>IF(D57="","",_xlfn.XLOOKUP(D57,Curriculum_Skillset!$B$2:$B$200,Curriculum_Skillset!$A$2:$A$200,""))</f>
        <v/>
      </c>
      <c r="F57" s="40" t="str">
        <f t="shared" si="0"/>
        <v/>
      </c>
      <c r="G57" s="40" t="str">
        <f t="shared" si="1"/>
        <v/>
      </c>
      <c r="H57" s="40" t="str">
        <f t="shared" si="2"/>
        <v>No Curriculum Match</v>
      </c>
    </row>
    <row r="58" spans="1:10">
      <c r="A58">
        <v>54</v>
      </c>
      <c r="B58" t="str">
        <v>Agentic AI / Agent Benchmarking</v>
      </c>
      <c r="C58" s="40">
        <f>_xlfn.XLOOKUP(B58,Industry_Skillset!$B$2:$B$200,Industry_Skillset!$A$2:$A$200,"")</f>
        <v>54</v>
      </c>
      <c r="D58" t="str">
        <f>IF(B58="","",IF(_xlfn.XLOOKUP(B58,Skill_Matching!$A$2:$A$200,Skill_Matching!$E$2:$E$200,"")=0,"",_xlfn.XLOOKUP(B58,Skill_Matching!$A$2:$A$200,Skill_Matching!$E$2:$E$200,"")))</f>
        <v/>
      </c>
      <c r="E58" s="40" t="str">
        <f>IF(D58="","",_xlfn.XLOOKUP(D58,Curriculum_Skillset!$B$2:$B$200,Curriculum_Skillset!$A$2:$A$200,""))</f>
        <v/>
      </c>
      <c r="F58" s="40" t="str">
        <f t="shared" si="0"/>
        <v/>
      </c>
      <c r="G58" s="40" t="str">
        <f t="shared" si="1"/>
        <v/>
      </c>
      <c r="H58" s="40" t="str">
        <f t="shared" si="2"/>
        <v>No Curriculum Match</v>
      </c>
    </row>
    <row r="59" spans="1:10">
      <c r="A59">
        <v>55</v>
      </c>
      <c r="B59" t="str">
        <v>Customer Segmentation</v>
      </c>
      <c r="C59" s="40">
        <f>_xlfn.XLOOKUP(B59,Industry_Skillset!$B$2:$B$200,Industry_Skillset!$A$2:$A$200,"")</f>
        <v>55</v>
      </c>
      <c r="D59" t="str">
        <f>IF(B59="","",IF(_xlfn.XLOOKUP(B59,Skill_Matching!$A$2:$A$200,Skill_Matching!$E$2:$E$200,"")=0,"",_xlfn.XLOOKUP(B59,Skill_Matching!$A$2:$A$200,Skill_Matching!$E$2:$E$200,"")))</f>
        <v>Clustering</v>
      </c>
      <c r="E59" s="40">
        <f>IF(D59="","",_xlfn.XLOOKUP(D59,Curriculum_Skillset!$B$2:$B$200,Curriculum_Skillset!$A$2:$A$200,""))</f>
        <v>29</v>
      </c>
      <c r="F59" s="40">
        <f t="shared" si="0"/>
        <v>26</v>
      </c>
      <c r="G59" s="40">
        <f t="shared" si="1"/>
        <v>26</v>
      </c>
      <c r="H59" s="40" t="str">
        <f t="shared" si="2"/>
        <v>Curriculum Leads</v>
      </c>
    </row>
    <row r="60" spans="1:10">
      <c r="A60">
        <v>56</v>
      </c>
      <c r="B60" t="str">
        <v>Fraud Detection &amp; Risk Analytics</v>
      </c>
      <c r="C60" s="40">
        <f>_xlfn.XLOOKUP(B60,Industry_Skillset!$B$2:$B$200,Industry_Skillset!$A$2:$A$200,"")</f>
        <v>56</v>
      </c>
      <c r="D60" t="str">
        <f>IF(B60="","",IF(_xlfn.XLOOKUP(B60,Skill_Matching!$A$2:$A$200,Skill_Matching!$E$2:$E$200,"")=0,"",_xlfn.XLOOKUP(B60,Skill_Matching!$A$2:$A$200,Skill_Matching!$E$2:$E$200,"")))</f>
        <v/>
      </c>
      <c r="E60" s="40" t="str">
        <f>IF(D60="","",_xlfn.XLOOKUP(D60,Curriculum_Skillset!$B$2:$B$200,Curriculum_Skillset!$A$2:$A$200,""))</f>
        <v/>
      </c>
      <c r="F60" s="40" t="str">
        <f t="shared" si="0"/>
        <v/>
      </c>
      <c r="G60" s="40" t="str">
        <f t="shared" si="1"/>
        <v/>
      </c>
      <c r="H60" s="40" t="str">
        <f t="shared" si="2"/>
        <v>No Curriculum Match</v>
      </c>
    </row>
    <row r="61" spans="1:10">
      <c r="A61">
        <v>57</v>
      </c>
      <c r="B61" t="str">
        <v>NoSQL Databases</v>
      </c>
      <c r="C61" s="40">
        <f>_xlfn.XLOOKUP(B61,Industry_Skillset!$B$2:$B$200,Industry_Skillset!$A$2:$A$200,"")</f>
        <v>57</v>
      </c>
      <c r="D61" t="str">
        <f>IF(B61="","",IF(_xlfn.XLOOKUP(B61,Skill_Matching!$A$2:$A$200,Skill_Matching!$E$2:$E$200,"")=0,"",_xlfn.XLOOKUP(B61,Skill_Matching!$A$2:$A$200,Skill_Matching!$E$2:$E$200,"")))</f>
        <v>NoSQL</v>
      </c>
      <c r="E61" s="40">
        <f>IF(D61="","",_xlfn.XLOOKUP(D61,Curriculum_Skillset!$B$2:$B$200,Curriculum_Skillset!$A$2:$A$200,""))</f>
        <v>47</v>
      </c>
      <c r="F61" s="40">
        <f t="shared" si="0"/>
        <v>10</v>
      </c>
      <c r="G61" s="40">
        <f t="shared" si="1"/>
        <v>10</v>
      </c>
      <c r="H61" s="40" t="str">
        <f t="shared" si="2"/>
        <v>Curriculum Leads</v>
      </c>
    </row>
    <row r="62" spans="1:10">
      <c r="A62">
        <v>58</v>
      </c>
      <c r="B62" t="str">
        <v>REST APIs (Flask / FastAPI)</v>
      </c>
      <c r="C62" s="40">
        <f>_xlfn.XLOOKUP(B62,Industry_Skillset!$B$2:$B$200,Industry_Skillset!$A$2:$A$200,"")</f>
        <v>58</v>
      </c>
      <c r="D62" t="str">
        <f>IF(B62="","",IF(_xlfn.XLOOKUP(B62,Skill_Matching!$A$2:$A$200,Skill_Matching!$E$2:$E$200,"")=0,"",_xlfn.XLOOKUP(B62,Skill_Matching!$A$2:$A$200,Skill_Matching!$E$2:$E$200,"")))</f>
        <v/>
      </c>
      <c r="E62" s="40" t="str">
        <f>IF(D62="","",_xlfn.XLOOKUP(D62,Curriculum_Skillset!$B$2:$B$200,Curriculum_Skillset!$A$2:$A$200,""))</f>
        <v/>
      </c>
      <c r="F62" s="40" t="str">
        <f t="shared" si="0"/>
        <v/>
      </c>
      <c r="G62" s="40" t="str">
        <f t="shared" si="1"/>
        <v/>
      </c>
      <c r="H62" s="40" t="str">
        <f t="shared" si="2"/>
        <v>No Curriculum Match</v>
      </c>
    </row>
    <row r="63" spans="1:10">
      <c r="A63">
        <v>59</v>
      </c>
      <c r="B63" t="str">
        <v>React / Frontend Frameworks</v>
      </c>
      <c r="C63" s="40">
        <f>_xlfn.XLOOKUP(B63,Industry_Skillset!$B$2:$B$200,Industry_Skillset!$A$2:$A$200,"")</f>
        <v>59</v>
      </c>
      <c r="D63" t="str">
        <f>IF(B63="","",IF(_xlfn.XLOOKUP(B63,Skill_Matching!$A$2:$A$200,Skill_Matching!$E$2:$E$200,"")=0,"",_xlfn.XLOOKUP(B63,Skill_Matching!$A$2:$A$200,Skill_Matching!$E$2:$E$200,"")))</f>
        <v>Web Development</v>
      </c>
      <c r="E63" s="40">
        <f>IF(D63="","",_xlfn.XLOOKUP(D63,Curriculum_Skillset!$B$2:$B$200,Curriculum_Skillset!$A$2:$A$200,""))</f>
        <v>62</v>
      </c>
      <c r="F63" s="40">
        <f t="shared" si="0"/>
        <v>-3</v>
      </c>
      <c r="G63" s="40">
        <f t="shared" si="1"/>
        <v>3</v>
      </c>
      <c r="H63" s="40" t="str">
        <f t="shared" si="2"/>
        <v>Curriculum Lags</v>
      </c>
    </row>
    <row r="64" spans="1:10">
      <c r="A64">
        <v>60</v>
      </c>
      <c r="B64" t="str">
        <v>Recommendation Systems</v>
      </c>
      <c r="C64" s="40">
        <f>_xlfn.XLOOKUP(B64,Industry_Skillset!$B$2:$B$200,Industry_Skillset!$A$2:$A$200,"")</f>
        <v>60</v>
      </c>
      <c r="D64" t="str">
        <f>IF(B64="","",IF(_xlfn.XLOOKUP(B64,Skill_Matching!$A$2:$A$200,Skill_Matching!$E$2:$E$200,"")=0,"",_xlfn.XLOOKUP(B64,Skill_Matching!$A$2:$A$200,Skill_Matching!$E$2:$E$200,"")))</f>
        <v/>
      </c>
      <c r="E64" s="40" t="str">
        <f>IF(D64="","",_xlfn.XLOOKUP(D64,Curriculum_Skillset!$B$2:$B$200,Curriculum_Skillset!$A$2:$A$200,""))</f>
        <v/>
      </c>
      <c r="F64" s="40" t="str">
        <f t="shared" si="0"/>
        <v/>
      </c>
      <c r="G64" s="40" t="str">
        <f t="shared" si="1"/>
        <v/>
      </c>
      <c r="H64" s="40" t="str">
        <f t="shared" si="2"/>
        <v>No Curriculum Match</v>
      </c>
    </row>
    <row r="65" spans="1:8">
      <c r="A65">
        <v>61</v>
      </c>
      <c r="B65" t="str">
        <v>SQL / Relational Databases</v>
      </c>
      <c r="C65" s="40">
        <f>_xlfn.XLOOKUP(B65,Industry_Skillset!$B$2:$B$200,Industry_Skillset!$A$2:$A$200,"")</f>
        <v>61</v>
      </c>
      <c r="D65" t="str">
        <f>IF(B65="","",IF(_xlfn.XLOOKUP(B65,Skill_Matching!$A$2:$A$200,Skill_Matching!$E$2:$E$200,"")=0,"",_xlfn.XLOOKUP(B65,Skill_Matching!$A$2:$A$200,Skill_Matching!$E$2:$E$200,"")))</f>
        <v>Database Management Systems</v>
      </c>
      <c r="E65" s="40">
        <f>IF(D65="","",_xlfn.XLOOKUP(D65,Curriculum_Skillset!$B$2:$B$200,Curriculum_Skillset!$A$2:$A$200,""))</f>
        <v>11</v>
      </c>
      <c r="F65" s="40">
        <f t="shared" si="0"/>
        <v>50</v>
      </c>
      <c r="G65" s="40">
        <f t="shared" si="1"/>
        <v>50</v>
      </c>
      <c r="H65" s="40" t="str">
        <f t="shared" si="2"/>
        <v>Curriculum Leads</v>
      </c>
    </row>
    <row r="66" spans="1:8">
      <c r="A66">
        <v>62</v>
      </c>
      <c r="B66" t="str">
        <v>Algorithms &amp; Data Structures</v>
      </c>
      <c r="C66" s="40">
        <f>_xlfn.XLOOKUP(B66,Industry_Skillset!$B$2:$B$200,Industry_Skillset!$A$2:$A$200,"")</f>
        <v>62</v>
      </c>
      <c r="D66" t="str">
        <f>IF(B66="","",IF(_xlfn.XLOOKUP(B66,Skill_Matching!$A$2:$A$200,Skill_Matching!$E$2:$E$200,"")=0,"",_xlfn.XLOOKUP(B66,Skill_Matching!$A$2:$A$200,Skill_Matching!$E$2:$E$200,"")))</f>
        <v>Data Structures</v>
      </c>
      <c r="E66" s="40">
        <f>IF(D66="","",_xlfn.XLOOKUP(D66,Curriculum_Skillset!$B$2:$B$200,Curriculum_Skillset!$A$2:$A$200,""))</f>
        <v>4</v>
      </c>
      <c r="F66" s="40">
        <f t="shared" si="0"/>
        <v>58</v>
      </c>
      <c r="G66" s="40">
        <f t="shared" si="1"/>
        <v>58</v>
      </c>
      <c r="H66" s="40" t="str">
        <f t="shared" si="2"/>
        <v>Curriculum Leads</v>
      </c>
    </row>
    <row r="67" spans="1:8">
      <c r="A67">
        <v>63</v>
      </c>
      <c r="B67" t="str">
        <v>Azure Databricks</v>
      </c>
      <c r="C67" s="40">
        <f>_xlfn.XLOOKUP(B67,Industry_Skillset!$B$2:$B$200,Industry_Skillset!$A$2:$A$200,"")</f>
        <v>63</v>
      </c>
      <c r="D67" t="str">
        <f>IF(B67="","",IF(_xlfn.XLOOKUP(B67,Skill_Matching!$A$2:$A$200,Skill_Matching!$E$2:$E$200,"")=0,"",_xlfn.XLOOKUP(B67,Skill_Matching!$A$2:$A$200,Skill_Matching!$E$2:$E$200,"")))</f>
        <v/>
      </c>
      <c r="E67" s="40" t="str">
        <f>IF(D67="","",_xlfn.XLOOKUP(D67,Curriculum_Skillset!$B$2:$B$200,Curriculum_Skillset!$A$2:$A$200,""))</f>
        <v/>
      </c>
      <c r="F67" s="40" t="str">
        <f t="shared" si="0"/>
        <v/>
      </c>
      <c r="G67" s="40" t="str">
        <f t="shared" si="1"/>
        <v/>
      </c>
      <c r="H67" s="40" t="str">
        <f t="shared" si="2"/>
        <v>No Curriculum Match</v>
      </c>
    </row>
    <row r="68" spans="1:8">
      <c r="A68">
        <v>64</v>
      </c>
      <c r="B68" t="str">
        <v>Bayesian Methods / Causal Inference</v>
      </c>
      <c r="C68" s="40">
        <f>_xlfn.XLOOKUP(B68,Industry_Skillset!$B$2:$B$200,Industry_Skillset!$A$2:$A$200,"")</f>
        <v>64</v>
      </c>
      <c r="D68" t="str">
        <f>IF(B68="","",IF(_xlfn.XLOOKUP(B68,Skill_Matching!$A$2:$A$200,Skill_Matching!$E$2:$E$200,"")=0,"",_xlfn.XLOOKUP(B68,Skill_Matching!$A$2:$A$200,Skill_Matching!$E$2:$E$200,"")))</f>
        <v>Bayesian Methods</v>
      </c>
      <c r="E68" s="40">
        <f>IF(D68="","",_xlfn.XLOOKUP(D68,Curriculum_Skillset!$B$2:$B$200,Curriculum_Skillset!$A$2:$A$200,""))</f>
        <v>58</v>
      </c>
      <c r="F68" s="40">
        <f t="shared" si="0"/>
        <v>6</v>
      </c>
      <c r="G68" s="40">
        <f t="shared" si="1"/>
        <v>6</v>
      </c>
      <c r="H68" s="40" t="str">
        <f t="shared" si="2"/>
        <v>Curriculum Leads</v>
      </c>
    </row>
    <row r="69" spans="1:8">
      <c r="A69">
        <v>65</v>
      </c>
      <c r="B69" t="str">
        <v>C / C++</v>
      </c>
      <c r="C69" s="40">
        <f>_xlfn.XLOOKUP(B69,Industry_Skillset!$B$2:$B$200,Industry_Skillset!$A$2:$A$200,"")</f>
        <v>65</v>
      </c>
      <c r="D69" t="str">
        <f>IF(B69="","",IF(_xlfn.XLOOKUP(B69,Skill_Matching!$A$2:$A$200,Skill_Matching!$E$2:$E$200,"")=0,"",_xlfn.XLOOKUP(B69,Skill_Matching!$A$2:$A$200,Skill_Matching!$E$2:$E$200,"")))</f>
        <v>C++</v>
      </c>
      <c r="E69" s="40">
        <f>IF(D69="","",_xlfn.XLOOKUP(D69,Curriculum_Skillset!$B$2:$B$200,Curriculum_Skillset!$A$2:$A$200,""))</f>
        <v>72</v>
      </c>
      <c r="F69" s="40">
        <f t="shared" si="0"/>
        <v>-7</v>
      </c>
      <c r="G69" s="40">
        <f t="shared" si="1"/>
        <v>7</v>
      </c>
      <c r="H69" s="40" t="str">
        <f t="shared" si="2"/>
        <v>Curriculum Lags</v>
      </c>
    </row>
    <row r="70" spans="1:8">
      <c r="A70">
        <v>66</v>
      </c>
      <c r="B70" t="str">
        <v>CI/CD Workflows</v>
      </c>
      <c r="C70" s="40">
        <f>_xlfn.XLOOKUP(B70,Industry_Skillset!$B$2:$B$200,Industry_Skillset!$A$2:$A$200,"")</f>
        <v>66</v>
      </c>
      <c r="D70" t="str">
        <f>IF(B70="","",IF(_xlfn.XLOOKUP(B70,Skill_Matching!$A$2:$A$200,Skill_Matching!$E$2:$E$200,"")=0,"",_xlfn.XLOOKUP(B70,Skill_Matching!$A$2:$A$200,Skill_Matching!$E$2:$E$200,"")))</f>
        <v/>
      </c>
      <c r="E70" s="40" t="str">
        <f>IF(D70="","",_xlfn.XLOOKUP(D70,Curriculum_Skillset!$B$2:$B$200,Curriculum_Skillset!$A$2:$A$200,""))</f>
        <v/>
      </c>
      <c r="F70" s="40" t="str">
        <f t="shared" ref="F70:F96" si="3">IF(OR(C70="",E70=""),"",C70-E70)</f>
        <v/>
      </c>
      <c r="G70" s="40" t="str">
        <f t="shared" ref="G70:G85" si="4">IF(F70="","",ABS(F70))</f>
        <v/>
      </c>
      <c r="H70" s="40" t="str">
        <f t="shared" ref="H70:H85" si="5">IF(E70="","No Curriculum Match",IF(F70&lt;0,"Curriculum Lags",IF(F70&gt;0,"Curriculum Leads","Aligned")))</f>
        <v>No Curriculum Match</v>
      </c>
    </row>
    <row r="71" spans="1:8">
      <c r="A71">
        <v>67</v>
      </c>
      <c r="B71" t="str">
        <v>Causal Inference</v>
      </c>
      <c r="C71" s="40">
        <f>_xlfn.XLOOKUP(B71,Industry_Skillset!$B$2:$B$200,Industry_Skillset!$A$2:$A$200,"")</f>
        <v>67</v>
      </c>
      <c r="D71" t="str">
        <f>IF(B71="","",IF(_xlfn.XLOOKUP(B71,Skill_Matching!$A$2:$A$200,Skill_Matching!$E$2:$E$200,"")=0,"",_xlfn.XLOOKUP(B71,Skill_Matching!$A$2:$A$200,Skill_Matching!$E$2:$E$200,"")))</f>
        <v>Statistics</v>
      </c>
      <c r="E71" s="40">
        <f>IF(D71="","",_xlfn.XLOOKUP(D71,Curriculum_Skillset!$B$2:$B$200,Curriculum_Skillset!$A$2:$A$200,""))</f>
        <v>1</v>
      </c>
      <c r="F71" s="40">
        <f t="shared" si="3"/>
        <v>66</v>
      </c>
      <c r="G71" s="40">
        <f t="shared" si="4"/>
        <v>66</v>
      </c>
      <c r="H71" s="40" t="str">
        <f t="shared" si="5"/>
        <v>Curriculum Leads</v>
      </c>
    </row>
    <row r="72" spans="1:8">
      <c r="A72">
        <v>68</v>
      </c>
      <c r="B72" t="str">
        <v>Cloud Data Warehousing (BigQuery / Redshift)</v>
      </c>
      <c r="C72" s="40">
        <f>_xlfn.XLOOKUP(B72,Industry_Skillset!$B$2:$B$200,Industry_Skillset!$A$2:$A$200,"")</f>
        <v>68</v>
      </c>
      <c r="D72" t="str">
        <f>IF(B72="","",IF(_xlfn.XLOOKUP(B72,Skill_Matching!$A$2:$A$200,Skill_Matching!$E$2:$E$200,"")=0,"",_xlfn.XLOOKUP(B72,Skill_Matching!$A$2:$A$200,Skill_Matching!$E$2:$E$200,"")))</f>
        <v>Data Warehousing</v>
      </c>
      <c r="E72" s="40">
        <f>IF(D72="","",_xlfn.XLOOKUP(D72,Curriculum_Skillset!$B$2:$B$200,Curriculum_Skillset!$A$2:$A$200,""))</f>
        <v>35</v>
      </c>
      <c r="F72" s="40">
        <f t="shared" si="3"/>
        <v>33</v>
      </c>
      <c r="G72" s="40">
        <f t="shared" si="4"/>
        <v>33</v>
      </c>
      <c r="H72" s="40" t="str">
        <f t="shared" si="5"/>
        <v>Curriculum Leads</v>
      </c>
    </row>
    <row r="73" spans="1:8">
      <c r="A73">
        <v>69</v>
      </c>
      <c r="B73" t="str">
        <v>Computer Vision</v>
      </c>
      <c r="C73" s="40">
        <f>_xlfn.XLOOKUP(B73,Industry_Skillset!$B$2:$B$200,Industry_Skillset!$A$2:$A$200,"")</f>
        <v>69</v>
      </c>
      <c r="D73" t="str">
        <f>IF(B73="","",IF(_xlfn.XLOOKUP(B73,Skill_Matching!$A$2:$A$200,Skill_Matching!$E$2:$E$200,"")=0,"",_xlfn.XLOOKUP(B73,Skill_Matching!$A$2:$A$200,Skill_Matching!$E$2:$E$200,"")))</f>
        <v>Computer Vision</v>
      </c>
      <c r="E73" s="40">
        <f>IF(D73="","",_xlfn.XLOOKUP(D73,Curriculum_Skillset!$B$2:$B$200,Curriculum_Skillset!$A$2:$A$200,""))</f>
        <v>22</v>
      </c>
      <c r="F73" s="40">
        <f t="shared" si="3"/>
        <v>47</v>
      </c>
      <c r="G73" s="40">
        <f t="shared" si="4"/>
        <v>47</v>
      </c>
      <c r="H73" s="40" t="str">
        <f t="shared" si="5"/>
        <v>Curriculum Leads</v>
      </c>
    </row>
    <row r="74" spans="1:8">
      <c r="A74">
        <v>70</v>
      </c>
      <c r="B74" t="str">
        <v>Computer Vision / Image Processing</v>
      </c>
      <c r="C74" s="40">
        <f>_xlfn.XLOOKUP(B74,Industry_Skillset!$B$2:$B$200,Industry_Skillset!$A$2:$A$200,"")</f>
        <v>70</v>
      </c>
      <c r="D74" t="str">
        <f>IF(B74="","",IF(_xlfn.XLOOKUP(B74,Skill_Matching!$A$2:$A$200,Skill_Matching!$E$2:$E$200,"")=0,"",_xlfn.XLOOKUP(B74,Skill_Matching!$A$2:$A$200,Skill_Matching!$E$2:$E$200,"")))</f>
        <v>Digital Image Processing</v>
      </c>
      <c r="E74" s="40">
        <f>IF(D74="","",_xlfn.XLOOKUP(D74,Curriculum_Skillset!$B$2:$B$200,Curriculum_Skillset!$A$2:$A$200,""))</f>
        <v>73</v>
      </c>
      <c r="F74" s="40">
        <f t="shared" si="3"/>
        <v>-3</v>
      </c>
      <c r="G74" s="40">
        <f t="shared" si="4"/>
        <v>3</v>
      </c>
      <c r="H74" s="40" t="str">
        <f t="shared" si="5"/>
        <v>Curriculum Lags</v>
      </c>
    </row>
    <row r="75" spans="1:8">
      <c r="A75">
        <v>71</v>
      </c>
      <c r="B75" t="str">
        <v>Data Mining</v>
      </c>
      <c r="C75" s="40">
        <f>_xlfn.XLOOKUP(B75,Industry_Skillset!$B$2:$B$200,Industry_Skillset!$A$2:$A$200,"")</f>
        <v>71</v>
      </c>
      <c r="D75" t="str">
        <f>IF(B75="","",IF(_xlfn.XLOOKUP(B75,Skill_Matching!$A$2:$A$200,Skill_Matching!$E$2:$E$200,"")=0,"",_xlfn.XLOOKUP(B75,Skill_Matching!$A$2:$A$200,Skill_Matching!$E$2:$E$200,"")))</f>
        <v>Data Mining</v>
      </c>
      <c r="E75" s="40">
        <f>IF(D75="","",_xlfn.XLOOKUP(D75,Curriculum_Skillset!$B$2:$B$200,Curriculum_Skillset!$A$2:$A$200,""))</f>
        <v>6</v>
      </c>
      <c r="F75" s="40">
        <f t="shared" si="3"/>
        <v>65</v>
      </c>
      <c r="G75" s="40">
        <f t="shared" si="4"/>
        <v>65</v>
      </c>
      <c r="H75" s="40" t="str">
        <f t="shared" si="5"/>
        <v>Curriculum Leads</v>
      </c>
    </row>
    <row r="76" spans="1:8">
      <c r="A76">
        <v>72</v>
      </c>
      <c r="B76" t="str">
        <v>Experimental Design &amp; A/B Testing</v>
      </c>
      <c r="C76" s="40">
        <f>_xlfn.XLOOKUP(B76,Industry_Skillset!$B$2:$B$200,Industry_Skillset!$A$2:$A$200,"")</f>
        <v>72</v>
      </c>
      <c r="D76" t="str">
        <f>IF(B76="","",IF(_xlfn.XLOOKUP(B76,Skill_Matching!$A$2:$A$200,Skill_Matching!$E$2:$E$200,"")=0,"",_xlfn.XLOOKUP(B76,Skill_Matching!$A$2:$A$200,Skill_Matching!$E$2:$E$200,"")))</f>
        <v/>
      </c>
      <c r="E76" s="40" t="str">
        <f>IF(D76="","",_xlfn.XLOOKUP(D76,Curriculum_Skillset!$B$2:$B$200,Curriculum_Skillset!$A$2:$A$200,""))</f>
        <v/>
      </c>
      <c r="F76" s="40" t="str">
        <f t="shared" si="3"/>
        <v/>
      </c>
      <c r="G76" s="40" t="str">
        <f t="shared" si="4"/>
        <v/>
      </c>
      <c r="H76" s="40" t="str">
        <f t="shared" si="5"/>
        <v>No Curriculum Match</v>
      </c>
    </row>
    <row r="77" spans="1:8">
      <c r="A77">
        <v>73</v>
      </c>
      <c r="B77" t="str">
        <v>Experimentation &amp; Model Fine-Tuning</v>
      </c>
      <c r="C77" s="40">
        <f>_xlfn.XLOOKUP(B77,Industry_Skillset!$B$2:$B$200,Industry_Skillset!$A$2:$A$200,"")</f>
        <v>73</v>
      </c>
      <c r="D77" t="str">
        <f>IF(B77="","",IF(_xlfn.XLOOKUP(B77,Skill_Matching!$A$2:$A$200,Skill_Matching!$E$2:$E$200,"")=0,"",_xlfn.XLOOKUP(B77,Skill_Matching!$A$2:$A$200,Skill_Matching!$E$2:$E$200,"")))</f>
        <v/>
      </c>
      <c r="E77" s="40" t="str">
        <f>IF(D77="","",_xlfn.XLOOKUP(D77,Curriculum_Skillset!$B$2:$B$200,Curriculum_Skillset!$A$2:$A$200,""))</f>
        <v/>
      </c>
      <c r="F77" s="40" t="str">
        <f t="shared" si="3"/>
        <v/>
      </c>
      <c r="G77" s="40" t="str">
        <f t="shared" si="4"/>
        <v/>
      </c>
      <c r="H77" s="40" t="str">
        <f t="shared" si="5"/>
        <v>No Curriculum Match</v>
      </c>
    </row>
    <row r="78" spans="1:8">
      <c r="A78">
        <v>74</v>
      </c>
      <c r="B78" t="str">
        <v>Fine-Tuning LLMs</v>
      </c>
      <c r="C78" s="40">
        <f>_xlfn.XLOOKUP(B78,Industry_Skillset!$B$2:$B$200,Industry_Skillset!$A$2:$A$200,"")</f>
        <v>74</v>
      </c>
      <c r="D78" t="str">
        <f>IF(B78="","",IF(_xlfn.XLOOKUP(B78,Skill_Matching!$A$2:$A$200,Skill_Matching!$E$2:$E$200,"")=0,"",_xlfn.XLOOKUP(B78,Skill_Matching!$A$2:$A$200,Skill_Matching!$E$2:$E$200,"")))</f>
        <v/>
      </c>
      <c r="E78" s="40" t="str">
        <f>IF(D78="","",_xlfn.XLOOKUP(D78,Curriculum_Skillset!$B$2:$B$200,Curriculum_Skillset!$A$2:$A$200,""))</f>
        <v/>
      </c>
      <c r="F78" s="40" t="str">
        <f t="shared" si="3"/>
        <v/>
      </c>
      <c r="G78" s="40" t="str">
        <f t="shared" si="4"/>
        <v/>
      </c>
      <c r="H78" s="40" t="str">
        <f t="shared" si="5"/>
        <v>No Curriculum Match</v>
      </c>
    </row>
    <row r="79" spans="1:8">
      <c r="A79">
        <v>75</v>
      </c>
      <c r="B79" t="str">
        <v>Large-Scale Data Processing / Big Data</v>
      </c>
      <c r="C79" s="40">
        <f>_xlfn.XLOOKUP(B79,Industry_Skillset!$B$2:$B$200,Industry_Skillset!$A$2:$A$200,"")</f>
        <v>75</v>
      </c>
      <c r="D79" t="str">
        <f>IF(B79="","",IF(_xlfn.XLOOKUP(B79,Skill_Matching!$A$2:$A$200,Skill_Matching!$E$2:$E$200,"")=0,"",_xlfn.XLOOKUP(B79,Skill_Matching!$A$2:$A$200,Skill_Matching!$E$2:$E$200,"")))</f>
        <v>Big Data</v>
      </c>
      <c r="E79" s="40">
        <f>IF(D79="","",_xlfn.XLOOKUP(D79,Curriculum_Skillset!$B$2:$B$200,Curriculum_Skillset!$A$2:$A$200,""))</f>
        <v>13</v>
      </c>
      <c r="F79" s="40">
        <f t="shared" si="3"/>
        <v>62</v>
      </c>
      <c r="G79" s="40">
        <f t="shared" si="4"/>
        <v>62</v>
      </c>
      <c r="H79" s="40" t="str">
        <f t="shared" si="5"/>
        <v>Curriculum Leads</v>
      </c>
    </row>
    <row r="80" spans="1:8">
      <c r="A80">
        <v>76</v>
      </c>
      <c r="B80" t="str">
        <v>Model Evaluation &amp; Optimization</v>
      </c>
      <c r="C80" s="40">
        <f>_xlfn.XLOOKUP(B80,Industry_Skillset!$B$2:$B$200,Industry_Skillset!$A$2:$A$200,"")</f>
        <v>76</v>
      </c>
      <c r="D80" t="str">
        <f>IF(B80="","",IF(_xlfn.XLOOKUP(B80,Skill_Matching!$A$2:$A$200,Skill_Matching!$E$2:$E$200,"")=0,"",_xlfn.XLOOKUP(B80,Skill_Matching!$A$2:$A$200,Skill_Matching!$E$2:$E$200,"")))</f>
        <v>Optimization</v>
      </c>
      <c r="E80" s="40">
        <f>IF(D80="","",_xlfn.XLOOKUP(D80,Curriculum_Skillset!$B$2:$B$200,Curriculum_Skillset!$A$2:$A$200,""))</f>
        <v>40</v>
      </c>
      <c r="F80" s="40">
        <f t="shared" si="3"/>
        <v>36</v>
      </c>
      <c r="G80" s="40">
        <f t="shared" si="4"/>
        <v>36</v>
      </c>
      <c r="H80" s="40" t="str">
        <f t="shared" si="5"/>
        <v>Curriculum Leads</v>
      </c>
    </row>
    <row r="81" spans="1:8">
      <c r="A81">
        <v>77</v>
      </c>
      <c r="B81" t="str">
        <v>Predictive Analytics</v>
      </c>
      <c r="C81" s="40">
        <f>_xlfn.XLOOKUP(B81,Industry_Skillset!$B$2:$B$200,Industry_Skillset!$A$2:$A$200,"")</f>
        <v>77</v>
      </c>
      <c r="D81" t="str">
        <f>IF(B81="","",IF(_xlfn.XLOOKUP(B81,Skill_Matching!$A$2:$A$200,Skill_Matching!$E$2:$E$200,"")=0,"",_xlfn.XLOOKUP(B81,Skill_Matching!$A$2:$A$200,Skill_Matching!$E$2:$E$200,"")))</f>
        <v>Data Analytics</v>
      </c>
      <c r="E81" s="40">
        <f>IF(D81="","",_xlfn.XLOOKUP(D81,Curriculum_Skillset!$B$2:$B$200,Curriculum_Skillset!$A$2:$A$200,""))</f>
        <v>10</v>
      </c>
      <c r="F81" s="40">
        <f t="shared" si="3"/>
        <v>67</v>
      </c>
      <c r="G81" s="40">
        <f t="shared" si="4"/>
        <v>67</v>
      </c>
      <c r="H81" s="40" t="str">
        <f t="shared" si="5"/>
        <v>Curriculum Leads</v>
      </c>
    </row>
    <row r="82" spans="1:8">
      <c r="A82">
        <v>78</v>
      </c>
      <c r="B82" t="str">
        <v>Reporting &amp; Documentation</v>
      </c>
      <c r="C82" s="40">
        <f>_xlfn.XLOOKUP(B82,Industry_Skillset!$B$2:$B$200,Industry_Skillset!$A$2:$A$200,"")</f>
        <v>78</v>
      </c>
      <c r="D82" t="str">
        <f>IF(B82="","",IF(_xlfn.XLOOKUP(B82,Skill_Matching!$A$2:$A$200,Skill_Matching!$E$2:$E$200,"")=0,"",_xlfn.XLOOKUP(B82,Skill_Matching!$A$2:$A$200,Skill_Matching!$E$2:$E$200,"")))</f>
        <v/>
      </c>
      <c r="E82" s="40" t="str">
        <f>IF(D82="","",_xlfn.XLOOKUP(D82,Curriculum_Skillset!$B$2:$B$200,Curriculum_Skillset!$A$2:$A$200,""))</f>
        <v/>
      </c>
      <c r="F82" s="40" t="str">
        <f t="shared" si="3"/>
        <v/>
      </c>
      <c r="G82" s="40" t="str">
        <f t="shared" si="4"/>
        <v/>
      </c>
      <c r="H82" s="40" t="str">
        <f t="shared" si="5"/>
        <v>No Curriculum Match</v>
      </c>
    </row>
    <row r="83" spans="1:8">
      <c r="A83">
        <v>79</v>
      </c>
      <c r="B83" t="str">
        <v>AI Safety &amp; Responsible AI</v>
      </c>
      <c r="C83" s="40">
        <f>_xlfn.XLOOKUP(B83,Industry_Skillset!$B$2:$B$200,Industry_Skillset!$A$2:$A$200,"")</f>
        <v>79</v>
      </c>
      <c r="D83" t="str">
        <f>IF(B83="","",IF(_xlfn.XLOOKUP(B83,Skill_Matching!$A$2:$A$200,Skill_Matching!$E$2:$E$200,"")=0,"",_xlfn.XLOOKUP(B83,Skill_Matching!$A$2:$A$200,Skill_Matching!$E$2:$E$200,"")))</f>
        <v>Ethics</v>
      </c>
      <c r="E83" s="40">
        <f>IF(D83="","",_xlfn.XLOOKUP(D83,Curriculum_Skillset!$B$2:$B$200,Curriculum_Skillset!$A$2:$A$200,""))</f>
        <v>49</v>
      </c>
      <c r="F83" s="40">
        <f t="shared" si="3"/>
        <v>30</v>
      </c>
      <c r="G83" s="40">
        <f t="shared" si="4"/>
        <v>30</v>
      </c>
      <c r="H83" s="40" t="str">
        <f t="shared" si="5"/>
        <v>Curriculum Leads</v>
      </c>
    </row>
    <row r="84" spans="1:8">
      <c r="A84">
        <v>80</v>
      </c>
      <c r="B84" t="str">
        <v>Autonomous Driving / ADAS</v>
      </c>
      <c r="C84" s="40">
        <f>_xlfn.XLOOKUP(B84,Industry_Skillset!$B$2:$B$200,Industry_Skillset!$A$2:$A$200,"")</f>
        <v>80</v>
      </c>
      <c r="D84" t="str">
        <f>IF(B84="","",IF(_xlfn.XLOOKUP(B84,Skill_Matching!$A$2:$A$200,Skill_Matching!$E$2:$E$200,"")=0,"",_xlfn.XLOOKUP(B84,Skill_Matching!$A$2:$A$200,Skill_Matching!$E$2:$E$200,"")))</f>
        <v/>
      </c>
      <c r="E84" s="40" t="str">
        <f>IF(D84="","",_xlfn.XLOOKUP(D84,Curriculum_Skillset!$B$2:$B$200,Curriculum_Skillset!$A$2:$A$200,""))</f>
        <v/>
      </c>
      <c r="F84" s="40" t="str">
        <f t="shared" si="3"/>
        <v/>
      </c>
      <c r="G84" s="40" t="str">
        <f t="shared" si="4"/>
        <v/>
      </c>
      <c r="H84" s="40" t="str">
        <f t="shared" si="5"/>
        <v>No Curriculum Match</v>
      </c>
    </row>
    <row r="85" spans="1:8">
      <c r="A85">
        <v>81</v>
      </c>
      <c r="B85" t="str">
        <v>Browser Automation</v>
      </c>
      <c r="C85" s="40">
        <f>_xlfn.XLOOKUP(B85,Industry_Skillset!$B$2:$B$200,Industry_Skillset!$A$2:$A$200,"")</f>
        <v>81</v>
      </c>
      <c r="D85" t="str">
        <f>IF(B85="","",IF(_xlfn.XLOOKUP(B85,Skill_Matching!$A$2:$A$200,Skill_Matching!$E$2:$E$200,"")=0,"",_xlfn.XLOOKUP(B85,Skill_Matching!$A$2:$A$200,Skill_Matching!$E$2:$E$200,"")))</f>
        <v/>
      </c>
      <c r="E85" s="40" t="str">
        <f>IF(D85="","",_xlfn.XLOOKUP(D85,Curriculum_Skillset!$B$2:$B$200,Curriculum_Skillset!$A$2:$A$200,""))</f>
        <v/>
      </c>
      <c r="F85" s="40" t="str">
        <f t="shared" si="3"/>
        <v/>
      </c>
      <c r="G85" s="40" t="str">
        <f t="shared" si="4"/>
        <v/>
      </c>
      <c r="H85" s="40" t="str">
        <f t="shared" si="5"/>
        <v>No Curriculum Match</v>
      </c>
    </row>
    <row r="86" spans="1:8">
      <c r="E86" s="40"/>
      <c r="F86" s="40"/>
      <c r="G86" s="40"/>
      <c r="H86" s="40"/>
    </row>
    <row r="87" spans="1:8">
      <c r="E87" s="40"/>
      <c r="F87" s="40"/>
      <c r="G87" s="40"/>
      <c r="H87" s="40"/>
    </row>
    <row r="88" spans="1:8">
      <c r="E88" s="40"/>
      <c r="F88" s="40"/>
      <c r="G88" s="40"/>
      <c r="H88" s="40"/>
    </row>
    <row r="89" spans="1:8">
      <c r="B89" s="4" t="s">
        <v>292</v>
      </c>
      <c r="C89" s="4"/>
      <c r="E89" s="40"/>
      <c r="F89" s="40"/>
      <c r="G89" s="40"/>
      <c r="H89" s="40"/>
    </row>
    <row r="90" spans="1:8">
      <c r="B90" t="s">
        <v>366</v>
      </c>
      <c r="C90" s="40">
        <f>COUNTA(B5:B85)</f>
        <v>81</v>
      </c>
      <c r="E90" s="40"/>
      <c r="F90" s="40"/>
      <c r="G90" s="40"/>
      <c r="H90" s="40"/>
    </row>
    <row r="91" spans="1:8">
      <c r="B91" t="s">
        <v>420</v>
      </c>
      <c r="C91" s="40">
        <f>COUNTIF(H5:H85,"&lt;&gt;No Curriculum Match")</f>
        <v>47</v>
      </c>
      <c r="E91" s="40"/>
      <c r="F91" s="40"/>
      <c r="G91" s="40"/>
      <c r="H91" s="40"/>
    </row>
    <row r="92" spans="1:8">
      <c r="B92" t="s">
        <v>421</v>
      </c>
      <c r="C92" s="40">
        <f>COUNTIF(I5:I85,"Industry Only")</f>
        <v>20</v>
      </c>
      <c r="E92" s="40"/>
      <c r="F92" s="40"/>
      <c r="G92" s="40"/>
      <c r="H92" s="40"/>
    </row>
    <row r="93" spans="1:8">
      <c r="B93" t="s">
        <v>422</v>
      </c>
      <c r="C93" s="9">
        <f>AVERAGEIFS($G$5:$G$200,$I$5:$I$200,"&lt;&gt;Industry Only")</f>
        <v>24.595744680851062</v>
      </c>
      <c r="E93" s="4" t="s">
        <v>419</v>
      </c>
      <c r="F93" s="4" t="s">
        <v>365</v>
      </c>
      <c r="G93" s="40"/>
      <c r="H93" s="40"/>
    </row>
    <row r="94" spans="1:8">
      <c r="B94" t="s">
        <v>423</v>
      </c>
      <c r="C94" s="40">
        <f>_xlfn.MAXIFS($G$5:$G$200,$I$5:$I$200,"&lt;&gt;Industry Only")</f>
        <v>67</v>
      </c>
      <c r="E94" t="s">
        <v>424</v>
      </c>
      <c r="F94">
        <v>16</v>
      </c>
      <c r="G94" s="40"/>
      <c r="H94" s="40"/>
    </row>
    <row r="95" spans="1:8">
      <c r="B95" t="s">
        <v>424</v>
      </c>
      <c r="C95" s="40">
        <f>COUNTIF(H5:H85,"Curriculum Lags")</f>
        <v>16</v>
      </c>
      <c r="E95" t="s">
        <v>425</v>
      </c>
      <c r="F95">
        <v>29</v>
      </c>
      <c r="G95" s="40"/>
      <c r="H95" s="40"/>
    </row>
    <row r="96" spans="1:8">
      <c r="B96" t="s">
        <v>425</v>
      </c>
      <c r="C96" s="40">
        <f>COUNTIF(H5:H85,"Curriculum Leads")</f>
        <v>29</v>
      </c>
      <c r="E96" t="s">
        <v>426</v>
      </c>
      <c r="F96">
        <v>2</v>
      </c>
      <c r="G96" s="40"/>
      <c r="H96" s="40"/>
    </row>
    <row r="97" spans="2:8">
      <c r="B97" t="s">
        <v>427</v>
      </c>
      <c r="C97" s="40">
        <f>COUNTIF(H5:H85,"Aligned")</f>
        <v>2</v>
      </c>
      <c r="E97" s="40"/>
      <c r="H97" s="40"/>
    </row>
    <row r="98" spans="2:8">
      <c r="B98" t="s">
        <v>428</v>
      </c>
      <c r="C98" s="38">
        <f>C95/C91</f>
        <v>0.34042553191489361</v>
      </c>
      <c r="E98" s="40"/>
      <c r="H98" s="40"/>
    </row>
    <row r="99" spans="2:8">
      <c r="B99" t="s">
        <v>429</v>
      </c>
      <c r="C99" s="38">
        <f>C96/C91</f>
        <v>0.61702127659574468</v>
      </c>
      <c r="E99" s="40"/>
      <c r="H99" s="40"/>
    </row>
    <row r="100" spans="2:8">
      <c r="B100" t="s">
        <v>430</v>
      </c>
      <c r="C100" s="38">
        <f>C97/C91</f>
        <v>4.2553191489361701E-2</v>
      </c>
      <c r="E100" s="40"/>
      <c r="H100" s="40"/>
    </row>
    <row r="101" spans="2:8">
      <c r="B101" t="s">
        <v>431</v>
      </c>
      <c r="C101" s="38">
        <f>C92/C90</f>
        <v>0.24691358024691357</v>
      </c>
      <c r="E101" s="40"/>
      <c r="H101" s="40"/>
    </row>
    <row r="102" spans="2:8">
      <c r="E102" s="40"/>
    </row>
    <row r="103" spans="2:8">
      <c r="E103" s="40"/>
    </row>
    <row r="104" spans="2:8">
      <c r="E104" s="40"/>
    </row>
    <row r="105" spans="2:8">
      <c r="B105" s="4"/>
      <c r="C105" s="4"/>
      <c r="D105" s="4"/>
      <c r="E105" s="4"/>
      <c r="F105" s="4"/>
      <c r="G105" s="4"/>
      <c r="H105" s="4"/>
    </row>
    <row r="106" spans="2:8">
      <c r="E106" s="40" t="str">
        <f>IF(D106="","",_xlfn.XLOOKUP(D106,Curriculum_Skillset!$B$2:$B$200,Curriculum_Skillset!$A$2:$A$200,""))</f>
        <v/>
      </c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E56D-0252-42A2-A95F-5643C1839315}">
  <dimension ref="A1:E45"/>
  <sheetViews>
    <sheetView tabSelected="1" workbookViewId="0">
      <selection activeCell="A4" sqref="A4:D18"/>
    </sheetView>
  </sheetViews>
  <sheetFormatPr defaultRowHeight="15"/>
  <cols>
    <col min="1" max="1" width="28.28515625" customWidth="1"/>
    <col min="2" max="2" width="12.7109375" customWidth="1"/>
    <col min="3" max="3" width="17.140625" customWidth="1"/>
    <col min="4" max="4" width="17.42578125" customWidth="1"/>
    <col min="5" max="5" width="14.85546875" customWidth="1"/>
  </cols>
  <sheetData>
    <row r="1" spans="1:5">
      <c r="A1" s="45" t="s">
        <v>432</v>
      </c>
      <c r="B1" s="45"/>
      <c r="C1" s="45"/>
      <c r="D1" s="45"/>
      <c r="E1" s="45"/>
    </row>
    <row r="2" spans="1:5">
      <c r="A2" s="45" t="s">
        <v>433</v>
      </c>
      <c r="B2" s="45"/>
      <c r="C2" s="45"/>
      <c r="D2" s="45"/>
      <c r="E2" s="45"/>
    </row>
    <row r="4" spans="1:5">
      <c r="A4" s="39" t="s">
        <v>6</v>
      </c>
      <c r="B4" s="39" t="s">
        <v>321</v>
      </c>
      <c r="C4" s="39" t="s">
        <v>325</v>
      </c>
      <c r="D4" s="39" t="s">
        <v>323</v>
      </c>
      <c r="E4" s="39" t="s">
        <v>434</v>
      </c>
    </row>
    <row r="5" spans="1:5">
      <c r="A5" t="str">
        <f>'Curriculum Coverage'!A121</f>
        <v>Data Analysis &amp; Statistics</v>
      </c>
      <c r="B5" s="40">
        <f>'Curriculum Coverage'!C121</f>
        <v>5</v>
      </c>
      <c r="C5" s="40">
        <f>'Curriculum Coverage'!D121</f>
        <v>6</v>
      </c>
      <c r="D5" s="40">
        <f>'Curriculum Coverage'!E121</f>
        <v>3</v>
      </c>
      <c r="E5" s="40">
        <f>SUM(B5:D5)</f>
        <v>14</v>
      </c>
    </row>
    <row r="6" spans="1:5">
      <c r="A6" t="str">
        <f>'Curriculum Coverage'!A122</f>
        <v>Programming Languages</v>
      </c>
      <c r="B6" s="40">
        <f>'Curriculum Coverage'!C122</f>
        <v>3</v>
      </c>
      <c r="C6" s="40">
        <f>'Curriculum Coverage'!D122</f>
        <v>0</v>
      </c>
      <c r="D6" s="40">
        <f>'Curriculum Coverage'!E122</f>
        <v>0</v>
      </c>
      <c r="E6" s="40">
        <f t="shared" ref="E6:E18" si="0">SUM(B6:D6)</f>
        <v>3</v>
      </c>
    </row>
    <row r="7" spans="1:5">
      <c r="A7" t="str">
        <f>'Curriculum Coverage'!A123</f>
        <v>Machine Learning</v>
      </c>
      <c r="B7" s="40">
        <f>'Curriculum Coverage'!C123</f>
        <v>1</v>
      </c>
      <c r="C7" s="40">
        <f>'Curriculum Coverage'!D123</f>
        <v>7</v>
      </c>
      <c r="D7" s="40">
        <f>'Curriculum Coverage'!E123</f>
        <v>2</v>
      </c>
      <c r="E7" s="40">
        <f t="shared" si="0"/>
        <v>10</v>
      </c>
    </row>
    <row r="8" spans="1:5">
      <c r="A8" t="str">
        <f>'Curriculum Coverage'!A124</f>
        <v>Software Engineering</v>
      </c>
      <c r="B8" s="40">
        <f>'Curriculum Coverage'!C124</f>
        <v>1</v>
      </c>
      <c r="C8" s="40">
        <f>'Curriculum Coverage'!D124</f>
        <v>1</v>
      </c>
      <c r="D8" s="40">
        <f>'Curriculum Coverage'!E124</f>
        <v>4</v>
      </c>
      <c r="E8" s="40">
        <f t="shared" si="0"/>
        <v>6</v>
      </c>
    </row>
    <row r="9" spans="1:5">
      <c r="A9" t="str">
        <f>'Curriculum Coverage'!A125</f>
        <v>Deep Learning</v>
      </c>
      <c r="B9" s="40">
        <f>'Curriculum Coverage'!C125</f>
        <v>1</v>
      </c>
      <c r="C9" s="40">
        <f>'Curriculum Coverage'!D125</f>
        <v>2</v>
      </c>
      <c r="D9" s="40">
        <f>'Curriculum Coverage'!E125</f>
        <v>0</v>
      </c>
      <c r="E9" s="40">
        <f t="shared" si="0"/>
        <v>3</v>
      </c>
    </row>
    <row r="10" spans="1:5">
      <c r="A10" t="str">
        <f>'Curriculum Coverage'!A126</f>
        <v>Artificial Intelligence</v>
      </c>
      <c r="B10" s="40">
        <f>'Curriculum Coverage'!C126</f>
        <v>1</v>
      </c>
      <c r="C10" s="40">
        <f>'Curriculum Coverage'!D126</f>
        <v>1</v>
      </c>
      <c r="D10" s="40">
        <f>'Curriculum Coverage'!E126</f>
        <v>0</v>
      </c>
      <c r="E10" s="40">
        <f t="shared" si="0"/>
        <v>2</v>
      </c>
    </row>
    <row r="11" spans="1:5">
      <c r="A11" t="str">
        <f>'Curriculum Coverage'!A127</f>
        <v>Generative AI &amp; NLP</v>
      </c>
      <c r="B11" s="40">
        <f>'Curriculum Coverage'!C127</f>
        <v>2</v>
      </c>
      <c r="C11" s="40">
        <f>'Curriculum Coverage'!D127</f>
        <v>1</v>
      </c>
      <c r="D11" s="40">
        <f>'Curriculum Coverage'!E127</f>
        <v>10</v>
      </c>
      <c r="E11" s="40">
        <f t="shared" si="0"/>
        <v>13</v>
      </c>
    </row>
    <row r="12" spans="1:5">
      <c r="A12" t="str">
        <f>'Curriculum Coverage'!A128</f>
        <v>Databases &amp; SQL</v>
      </c>
      <c r="B12" s="40">
        <f>'Curriculum Coverage'!C128</f>
        <v>3</v>
      </c>
      <c r="C12" s="40">
        <f>'Curriculum Coverage'!D128</f>
        <v>0</v>
      </c>
      <c r="D12" s="40">
        <f>'Curriculum Coverage'!E128</f>
        <v>0</v>
      </c>
      <c r="E12" s="40">
        <f t="shared" si="0"/>
        <v>3</v>
      </c>
    </row>
    <row r="13" spans="1:5">
      <c r="A13" t="str">
        <f>'Curriculum Coverage'!A129</f>
        <v>Cloud &amp; MLOps</v>
      </c>
      <c r="B13" s="40">
        <f>'Curriculum Coverage'!C129</f>
        <v>1</v>
      </c>
      <c r="C13" s="40">
        <f>'Curriculum Coverage'!D129</f>
        <v>0</v>
      </c>
      <c r="D13" s="40">
        <f>'Curriculum Coverage'!E129</f>
        <v>7</v>
      </c>
      <c r="E13" s="40">
        <f t="shared" si="0"/>
        <v>8</v>
      </c>
    </row>
    <row r="14" spans="1:5">
      <c r="A14" t="str">
        <f>'Curriculum Coverage'!A130</f>
        <v>Data Engineering &amp; Big Data</v>
      </c>
      <c r="B14" s="40">
        <f>'Curriculum Coverage'!C130</f>
        <v>3</v>
      </c>
      <c r="C14" s="40">
        <f>'Curriculum Coverage'!D130</f>
        <v>2</v>
      </c>
      <c r="D14" s="40">
        <f>'Curriculum Coverage'!E130</f>
        <v>1</v>
      </c>
      <c r="E14" s="40">
        <f t="shared" si="0"/>
        <v>6</v>
      </c>
    </row>
    <row r="15" spans="1:5">
      <c r="A15" t="str">
        <f>'Curriculum Coverage'!A131</f>
        <v>Data Visualization &amp; BI</v>
      </c>
      <c r="B15" s="40">
        <f>'Curriculum Coverage'!C131</f>
        <v>2</v>
      </c>
      <c r="C15" s="40">
        <f>'Curriculum Coverage'!D131</f>
        <v>1</v>
      </c>
      <c r="D15" s="40">
        <f>'Curriculum Coverage'!E131</f>
        <v>0</v>
      </c>
      <c r="E15" s="40">
        <f t="shared" si="0"/>
        <v>3</v>
      </c>
    </row>
    <row r="16" spans="1:5">
      <c r="A16" t="str">
        <f>'Curriculum Coverage'!A132</f>
        <v>Computer Vision</v>
      </c>
      <c r="B16" s="40">
        <f>'Curriculum Coverage'!C132</f>
        <v>2</v>
      </c>
      <c r="C16" s="40">
        <f>'Curriculum Coverage'!D132</f>
        <v>0</v>
      </c>
      <c r="D16" s="40">
        <f>'Curriculum Coverage'!E132</f>
        <v>0</v>
      </c>
      <c r="E16" s="40">
        <f t="shared" si="0"/>
        <v>2</v>
      </c>
    </row>
    <row r="17" spans="1:5">
      <c r="A17" t="str">
        <f>'Curriculum Coverage'!A133</f>
        <v>Professional &amp; Soft Skills</v>
      </c>
      <c r="B17" s="40">
        <f>'Curriculum Coverage'!C133</f>
        <v>0</v>
      </c>
      <c r="C17" s="40">
        <f>'Curriculum Coverage'!D133</f>
        <v>0</v>
      </c>
      <c r="D17" s="40">
        <f>'Curriculum Coverage'!E133</f>
        <v>4</v>
      </c>
      <c r="E17" s="40">
        <f t="shared" si="0"/>
        <v>4</v>
      </c>
    </row>
    <row r="18" spans="1:5">
      <c r="A18" t="str">
        <f>'Curriculum Coverage'!A134</f>
        <v>Domain Applications</v>
      </c>
      <c r="B18" s="40">
        <f>'Curriculum Coverage'!C134</f>
        <v>0</v>
      </c>
      <c r="C18" s="40">
        <f>'Curriculum Coverage'!D134</f>
        <v>1</v>
      </c>
      <c r="D18" s="40">
        <f>'Curriculum Coverage'!E134</f>
        <v>3</v>
      </c>
      <c r="E18" s="40">
        <f t="shared" si="0"/>
        <v>4</v>
      </c>
    </row>
    <row r="19" spans="1:5">
      <c r="B19" s="39">
        <f>SUM(B5:B18)</f>
        <v>25</v>
      </c>
      <c r="C19" s="39">
        <f>SUM(C5:C18)</f>
        <v>22</v>
      </c>
      <c r="D19" s="39">
        <f>SUM(D5:D18)</f>
        <v>34</v>
      </c>
      <c r="E19" s="39">
        <f>SUM(E5:E18)</f>
        <v>81</v>
      </c>
    </row>
    <row r="22" spans="1:5">
      <c r="A22" s="4"/>
      <c r="B22" s="4"/>
      <c r="C22" s="4"/>
      <c r="D22" s="4"/>
    </row>
    <row r="23" spans="1:5">
      <c r="A23" s="39" t="s">
        <v>6</v>
      </c>
      <c r="B23" s="39" t="s">
        <v>321</v>
      </c>
      <c r="C23" s="39" t="s">
        <v>325</v>
      </c>
      <c r="D23" s="39" t="s">
        <v>323</v>
      </c>
    </row>
    <row r="24" spans="1:5">
      <c r="A24" t="str">
        <f>A5</f>
        <v>Data Analysis &amp; Statistics</v>
      </c>
      <c r="B24" s="9">
        <f>$E5*B$19/$E$19</f>
        <v>4.3209876543209873</v>
      </c>
      <c r="C24" s="9">
        <f t="shared" ref="C24:D24" si="1">$E5*C$19/$E$19</f>
        <v>3.8024691358024691</v>
      </c>
      <c r="D24" s="9">
        <f t="shared" si="1"/>
        <v>5.8765432098765435</v>
      </c>
    </row>
    <row r="25" spans="1:5">
      <c r="A25" t="str">
        <f t="shared" ref="A25:A37" si="2">A6</f>
        <v>Programming Languages</v>
      </c>
      <c r="B25" s="9">
        <f t="shared" ref="B25:D25" si="3">$E6*B$19/$E$19</f>
        <v>0.92592592592592593</v>
      </c>
      <c r="C25" s="9">
        <f t="shared" si="3"/>
        <v>0.81481481481481477</v>
      </c>
      <c r="D25" s="9">
        <f t="shared" si="3"/>
        <v>1.2592592592592593</v>
      </c>
    </row>
    <row r="26" spans="1:5">
      <c r="A26" t="str">
        <f t="shared" si="2"/>
        <v>Machine Learning</v>
      </c>
      <c r="B26" s="9">
        <f t="shared" ref="B26:D26" si="4">$E7*B$19/$E$19</f>
        <v>3.0864197530864197</v>
      </c>
      <c r="C26" s="9">
        <f t="shared" si="4"/>
        <v>2.7160493827160495</v>
      </c>
      <c r="D26" s="9">
        <f t="shared" si="4"/>
        <v>4.1975308641975309</v>
      </c>
    </row>
    <row r="27" spans="1:5">
      <c r="A27" t="str">
        <f t="shared" si="2"/>
        <v>Software Engineering</v>
      </c>
      <c r="B27" s="9">
        <f t="shared" ref="B27:D27" si="5">$E8*B$19/$E$19</f>
        <v>1.8518518518518519</v>
      </c>
      <c r="C27" s="9">
        <f t="shared" si="5"/>
        <v>1.6296296296296295</v>
      </c>
      <c r="D27" s="9">
        <f t="shared" si="5"/>
        <v>2.5185185185185186</v>
      </c>
    </row>
    <row r="28" spans="1:5">
      <c r="A28" t="str">
        <f t="shared" si="2"/>
        <v>Deep Learning</v>
      </c>
      <c r="B28" s="9">
        <f t="shared" ref="B28:D28" si="6">$E9*B$19/$E$19</f>
        <v>0.92592592592592593</v>
      </c>
      <c r="C28" s="9">
        <f t="shared" si="6"/>
        <v>0.81481481481481477</v>
      </c>
      <c r="D28" s="9">
        <f t="shared" si="6"/>
        <v>1.2592592592592593</v>
      </c>
    </row>
    <row r="29" spans="1:5">
      <c r="A29" t="str">
        <f t="shared" si="2"/>
        <v>Artificial Intelligence</v>
      </c>
      <c r="B29" s="9">
        <f t="shared" ref="B29:D29" si="7">$E10*B$19/$E$19</f>
        <v>0.61728395061728392</v>
      </c>
      <c r="C29" s="9">
        <f t="shared" si="7"/>
        <v>0.54320987654320985</v>
      </c>
      <c r="D29" s="9">
        <f t="shared" si="7"/>
        <v>0.83950617283950613</v>
      </c>
    </row>
    <row r="30" spans="1:5">
      <c r="A30" t="str">
        <f t="shared" si="2"/>
        <v>Generative AI &amp; NLP</v>
      </c>
      <c r="B30" s="9">
        <f t="shared" ref="B30:D30" si="8">$E11*B$19/$E$19</f>
        <v>4.0123456790123457</v>
      </c>
      <c r="C30" s="9">
        <f t="shared" si="8"/>
        <v>3.5308641975308643</v>
      </c>
      <c r="D30" s="9">
        <f t="shared" si="8"/>
        <v>5.4567901234567904</v>
      </c>
    </row>
    <row r="31" spans="1:5">
      <c r="A31" t="str">
        <f t="shared" si="2"/>
        <v>Databases &amp; SQL</v>
      </c>
      <c r="B31" s="9">
        <f t="shared" ref="B31:D31" si="9">$E12*B$19/$E$19</f>
        <v>0.92592592592592593</v>
      </c>
      <c r="C31" s="9">
        <f t="shared" si="9"/>
        <v>0.81481481481481477</v>
      </c>
      <c r="D31" s="9">
        <f t="shared" si="9"/>
        <v>1.2592592592592593</v>
      </c>
    </row>
    <row r="32" spans="1:5">
      <c r="A32" t="str">
        <f t="shared" si="2"/>
        <v>Cloud &amp; MLOps</v>
      </c>
      <c r="B32" s="9">
        <f t="shared" ref="B32:D32" si="10">$E13*B$19/$E$19</f>
        <v>2.4691358024691357</v>
      </c>
      <c r="C32" s="9">
        <f t="shared" si="10"/>
        <v>2.1728395061728394</v>
      </c>
      <c r="D32" s="9">
        <f t="shared" si="10"/>
        <v>3.3580246913580245</v>
      </c>
    </row>
    <row r="33" spans="1:4">
      <c r="A33" t="str">
        <f t="shared" si="2"/>
        <v>Data Engineering &amp; Big Data</v>
      </c>
      <c r="B33" s="9">
        <f t="shared" ref="B33:D33" si="11">$E14*B$19/$E$19</f>
        <v>1.8518518518518519</v>
      </c>
      <c r="C33" s="9">
        <f t="shared" si="11"/>
        <v>1.6296296296296295</v>
      </c>
      <c r="D33" s="9">
        <f t="shared" si="11"/>
        <v>2.5185185185185186</v>
      </c>
    </row>
    <row r="34" spans="1:4">
      <c r="A34" t="str">
        <f t="shared" si="2"/>
        <v>Data Visualization &amp; BI</v>
      </c>
      <c r="B34" s="9">
        <f t="shared" ref="B34:D34" si="12">$E15*B$19/$E$19</f>
        <v>0.92592592592592593</v>
      </c>
      <c r="C34" s="9">
        <f t="shared" si="12"/>
        <v>0.81481481481481477</v>
      </c>
      <c r="D34" s="9">
        <f t="shared" si="12"/>
        <v>1.2592592592592593</v>
      </c>
    </row>
    <row r="35" spans="1:4">
      <c r="A35" t="str">
        <f t="shared" si="2"/>
        <v>Computer Vision</v>
      </c>
      <c r="B35" s="9">
        <f t="shared" ref="B35:D35" si="13">$E16*B$19/$E$19</f>
        <v>0.61728395061728392</v>
      </c>
      <c r="C35" s="9">
        <f t="shared" si="13"/>
        <v>0.54320987654320985</v>
      </c>
      <c r="D35" s="9">
        <f t="shared" si="13"/>
        <v>0.83950617283950613</v>
      </c>
    </row>
    <row r="36" spans="1:4">
      <c r="A36" t="str">
        <f t="shared" si="2"/>
        <v>Professional &amp; Soft Skills</v>
      </c>
      <c r="B36" s="9">
        <f t="shared" ref="B36:D36" si="14">$E17*B$19/$E$19</f>
        <v>1.2345679012345678</v>
      </c>
      <c r="C36" s="9">
        <f t="shared" si="14"/>
        <v>1.0864197530864197</v>
      </c>
      <c r="D36" s="9">
        <f t="shared" si="14"/>
        <v>1.6790123456790123</v>
      </c>
    </row>
    <row r="37" spans="1:4">
      <c r="A37" t="str">
        <f t="shared" si="2"/>
        <v>Domain Applications</v>
      </c>
      <c r="B37" s="9">
        <f t="shared" ref="B37:D37" si="15">$E18*B$19/$E$19</f>
        <v>1.2345679012345678</v>
      </c>
      <c r="C37" s="9">
        <f t="shared" si="15"/>
        <v>1.0864197530864197</v>
      </c>
      <c r="D37" s="9">
        <f t="shared" si="15"/>
        <v>1.6790123456790123</v>
      </c>
    </row>
    <row r="40" spans="1:4">
      <c r="A40" s="3" t="s">
        <v>435</v>
      </c>
      <c r="B40" s="15" cm="1">
        <f t="array" ref="B40">SUMPRODUCT((B5:D18-B24:D37)^2/(B24:D37))</f>
        <v>61.651068078979847</v>
      </c>
    </row>
    <row r="41" spans="1:4">
      <c r="A41" s="3" t="s">
        <v>436</v>
      </c>
      <c r="B41">
        <f>(14-1)*(3-1)</f>
        <v>26</v>
      </c>
    </row>
    <row r="42" spans="1:4">
      <c r="A42" s="3" t="s">
        <v>437</v>
      </c>
      <c r="B42" s="43">
        <f>_xlfn.CHISQ.TEST(B5:D18,B24:D37)</f>
        <v>1.0019485223478147E-4</v>
      </c>
    </row>
    <row r="43" spans="1:4">
      <c r="A43" s="3" t="s">
        <v>438</v>
      </c>
      <c r="B43" s="44">
        <f>SQRT(B40/(81*MIN(14-1,3-1)))</f>
        <v>0.61689719454353009</v>
      </c>
    </row>
    <row r="44" spans="1:4">
      <c r="A44" s="3" t="s">
        <v>439</v>
      </c>
      <c r="B44">
        <f>COUNTIF(B24:D37,"&lt;5")</f>
        <v>40</v>
      </c>
    </row>
    <row r="45" spans="1:4">
      <c r="A45" s="4" t="s">
        <v>440</v>
      </c>
      <c r="B45" s="6">
        <f>B44/COUNT(B24:D37)</f>
        <v>0.95238095238095233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2026-08-04T01:41:21Z</dcterms:created>
  <dcterms:modified xsi:type="dcterms:W3CDTF">2026-10-03T14:01:39Z</dcterms:modified>
  <cp:category/>
  <cp:contentStatus/>
</cp:coreProperties>
</file>